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83DCDE93-EDDD-4188-AB3F-C75B7695DCF3}" xr6:coauthVersionLast="47" xr6:coauthVersionMax="47" xr10:uidLastSave="{00000000-0000-0000-0000-000000000000}"/>
  <bookViews>
    <workbookView xWindow="-108" yWindow="-108" windowWidth="23256" windowHeight="12456" activeTab="1" xr2:uid="{99949A2C-05ED-4590-89A6-868AEF76457D}"/>
  </bookViews>
  <sheets>
    <sheet name="reports" sheetId="1" r:id="rId1"/>
    <sheet name="dashboard" sheetId="2" r:id="rId2"/>
  </sheets>
  <definedNames>
    <definedName name="_xlchart.v1.0" hidden="1">reports!$A$21:$A$32</definedName>
    <definedName name="_xlchart.v1.1" hidden="1">reports!$B$21:$B$32</definedName>
    <definedName name="_xlchart.v2.2" hidden="1">reports!$N$6:$N$13</definedName>
    <definedName name="_xlchart.v2.3" hidden="1">reports!$O$6:$O$13</definedName>
    <definedName name="Slicer_OrderStatus">#N/A</definedName>
    <definedName name="Slicer_Product">#N/A</definedName>
    <definedName name="Slicer_Region">#N/A</definedName>
    <definedName name="Slicer_Year">#N/A</definedName>
    <definedName name="Timeline_OrderDate">#N/A</definedName>
  </definedNames>
  <calcPr calcId="191029"/>
  <pivotCaches>
    <pivotCache cacheId="685" r:id="rId3"/>
    <pivotCache cacheId="686" r:id="rId4"/>
    <pivotCache cacheId="687" r:id="rId5"/>
    <pivotCache cacheId="688" r:id="rId6"/>
    <pivotCache cacheId="689" r:id="rId7"/>
    <pivotCache cacheId="690" r:id="rId8"/>
    <pivotCache cacheId="1187" r:id="rId9"/>
    <pivotCache cacheId="1190" r:id="rId10"/>
    <pivotCache cacheId="1193" r:id="rId11"/>
    <pivotCache cacheId="1196" r:id="rId12"/>
    <pivotCache cacheId="1199" r:id="rId13"/>
    <pivotCache cacheId="1202" r:id="rId14"/>
  </pivotCaches>
  <extLst>
    <ext xmlns:x14="http://schemas.microsoft.com/office/spreadsheetml/2009/9/main" uri="{876F7934-8845-4945-9796-88D515C7AA90}">
      <x14:pivotCaches>
        <pivotCache cacheId="697"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98"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rporate_Messy_Dataset_2000_Rows_f974e8d6-c555-4245-83cf-c846a46c2b7c" name="Corporate_Messy_Dataset_2000_Rows" connection="Query - Corporate_Messy_Dataset_2000_Row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3" i="1" l="1"/>
  <c r="B22" i="1"/>
  <c r="B23" i="1"/>
  <c r="B24" i="1"/>
  <c r="B25" i="1"/>
  <c r="B26" i="1"/>
  <c r="B27" i="1"/>
  <c r="B28" i="1"/>
  <c r="B29" i="1"/>
  <c r="B30" i="1"/>
  <c r="B31" i="1"/>
  <c r="B32" i="1"/>
  <c r="B21" i="1"/>
  <c r="O14" i="1"/>
  <c r="O7" i="1"/>
  <c r="O8" i="1"/>
  <c r="O9" i="1"/>
  <c r="O10" i="1"/>
  <c r="O11" i="1"/>
  <c r="O12" i="1"/>
  <c r="O13" i="1"/>
  <c r="O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4D3D91-CFE1-450A-961A-A24DB3355A20}" name="Query - Corporate_Messy_Dataset_2000_Rows" description="Connection to the 'Corporate_Messy_Dataset_2000_Rows' query in the workbook." type="100" refreshedVersion="8" minRefreshableVersion="5">
    <extLst>
      <ext xmlns:x15="http://schemas.microsoft.com/office/spreadsheetml/2010/11/main" uri="{DE250136-89BD-433C-8126-D09CA5730AF9}">
        <x15:connection id="dc330c65-cd22-41e7-a342-40e96d2a7301"/>
      </ext>
    </extLst>
  </connection>
  <connection id="2" xr16:uid="{CE1279F6-74A2-4D07-97BE-40903C3DC9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<sst xmlns="http://schemas.openxmlformats.org/spreadsheetml/2006/main" count="88" uniqueCount="46">
  <si>
    <t>Total Revenue</t>
  </si>
  <si>
    <t>Total Orders</t>
  </si>
  <si>
    <t>Total Customers</t>
  </si>
  <si>
    <t>Average Order value</t>
  </si>
  <si>
    <t>Cancellation rate</t>
  </si>
  <si>
    <t>Return Rate</t>
  </si>
  <si>
    <t>Row Labels</t>
  </si>
  <si>
    <t>April</t>
  </si>
  <si>
    <t>August</t>
  </si>
  <si>
    <t>December</t>
  </si>
  <si>
    <t>February</t>
  </si>
  <si>
    <t>January</t>
  </si>
  <si>
    <t>July</t>
  </si>
  <si>
    <t>June</t>
  </si>
  <si>
    <t>March</t>
  </si>
  <si>
    <t>May</t>
  </si>
  <si>
    <t>November</t>
  </si>
  <si>
    <t>October</t>
  </si>
  <si>
    <t>September</t>
  </si>
  <si>
    <t>Grand Total</t>
  </si>
  <si>
    <t>East</t>
  </si>
  <si>
    <t>North</t>
  </si>
  <si>
    <t>South</t>
  </si>
  <si>
    <t>West</t>
  </si>
  <si>
    <t>Headset</t>
  </si>
  <si>
    <t>Keyboard</t>
  </si>
  <si>
    <t>Laptop</t>
  </si>
  <si>
    <t>Monitor</t>
  </si>
  <si>
    <t>Amit</t>
  </si>
  <si>
    <t>Karan</t>
  </si>
  <si>
    <t>Neha</t>
  </si>
  <si>
    <t>Pooja</t>
  </si>
  <si>
    <t>Priya</t>
  </si>
  <si>
    <t>Rahul</t>
  </si>
  <si>
    <t>Sneha</t>
  </si>
  <si>
    <t>Vikas</t>
  </si>
  <si>
    <t>Cancelled</t>
  </si>
  <si>
    <t>Delivered</t>
  </si>
  <si>
    <t>Returned</t>
  </si>
  <si>
    <t>Shipped</t>
  </si>
  <si>
    <t>cash</t>
  </si>
  <si>
    <t>Credit Card</t>
  </si>
  <si>
    <t>Debit Card</t>
  </si>
  <si>
    <t>Net Banking</t>
  </si>
  <si>
    <t>UPI</t>
  </si>
  <si>
    <t>Speaker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</si>
</sst>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tint="4.9989318521683403E-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applyNumberFormat="1"/>
    <xf numFmtId="0" fontId="1" fillId="2" borderId="1" xfId="0" applyFont="1" applyFill="1" applyBorder="1"/>
    <xf numFmtId="0" fontId="0" fillId="0" borderId="0" xfId="0" pivotButton="1"/>
    <xf numFmtId="1" fontId="0" fillId="0" borderId="0" xfId="0" applyNumberFormat="1"/>
    <xf numFmtId="164" fontId="0" fillId="0" borderId="0" xfId="0" applyNumberFormat="1"/>
    <xf numFmtId="0" fontId="0" fillId="0" borderId="0" xfId="0" applyAlignment="1">
      <alignment horizontal="left"/>
    </xf>
    <xf numFmtId="0" fontId="1" fillId="2" borderId="2" xfId="0" applyFont="1" applyFill="1" applyBorder="1" applyAlignment="1">
      <alignment horizontal="left"/>
    </xf>
    <xf numFmtId="0" fontId="1" fillId="2" borderId="2" xfId="0" applyNumberFormat="1" applyFont="1" applyFill="1" applyBorder="1"/>
    <xf numFmtId="10" fontId="0" fillId="0" borderId="0" xfId="0" applyNumberFormat="1"/>
    <xf numFmtId="0" fontId="0" fillId="3" borderId="0" xfId="0" applyFill="1"/>
  </cellXfs>
  <cellStyles count="1">
    <cellStyle name="Normal" xfId="0" builtinId="0"/>
  </cellStyles>
  <dxfs count="4">
    <dxf>
      <font>
        <b/>
        <sz val="11"/>
        <color theme="1"/>
      </font>
      <border>
        <vertical/>
        <horizontal/>
      </border>
    </dxf>
    <dxf>
      <font>
        <color theme="1"/>
      </font>
      <fill>
        <patternFill>
          <bgColor theme="9" tint="0.79998168889431442"/>
        </patternFill>
      </fill>
      <border>
        <left style="thin">
          <color theme="9"/>
        </left>
        <right style="thin">
          <color theme="9"/>
        </right>
        <top style="thin">
          <color theme="9"/>
        </top>
        <bottom style="thin">
          <color theme="9"/>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SlicerStyleLight4 2" pivot="0" table="0" count="10" xr9:uid="{43E2AFFC-119A-4D90-871D-B9B16C64F0AE}">
      <tableStyleElement type="wholeTable" dxfId="3"/>
      <tableStyleElement type="headerRow" dxfId="2"/>
    </tableStyle>
    <tableStyle name="TimeSlicerStyleLight6 2" pivot="0" table="0" count="9" xr9:uid="{5AF52978-C8E1-40F0-9522-5B76CA7A39D1}">
      <tableStyleElement type="wholeTable" dxfId="1"/>
      <tableStyleElement type="headerRow" dxfId="0"/>
    </tableStyle>
  </tableStyles>
  <colors>
    <mruColors>
      <color rgb="FFBD03A7"/>
      <color rgb="FF110DC9"/>
      <color rgb="FFB08600"/>
    </mruColors>
  </colors>
  <extLst>
    <ext xmlns:x14="http://schemas.microsoft.com/office/spreadsheetml/2009/9/main" uri="{46F421CA-312F-682f-3DD2-61675219B42D}">
      <x14:dxfs count="8">
        <dxf>
          <font>
            <color theme="1"/>
          </font>
          <fill>
            <patternFill patternType="solid">
              <fgColor auto="1"/>
              <bgColor theme="9"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theme="9" tint="-0.2499465926084170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5117038483843"/>
              <bgColor theme="9" tint="0.59996337778862885"/>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7"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9" tint="0.59996337778862885"/>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9" tint="0.5999633777886288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9" tint="0.39997558519241921"/>
              <bgColor theme="9" tint="0.39997558519241921"/>
            </patternFill>
          </fill>
          <border>
            <vertical/>
            <horizontal/>
          </border>
        </dxf>
        <dxf>
          <fill>
            <patternFill patternType="solid">
              <fgColor auto="1"/>
              <bgColor theme="9" tint="0.59996337778862885"/>
            </patternFill>
          </fill>
          <border>
            <vertical/>
            <horizontal/>
          </border>
        </dxf>
        <dxf>
          <fill>
            <patternFill patternType="solid">
              <fgColor auto="1"/>
              <bgColor theme="9" tint="-0.24994659260841701"/>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9" tint="0.39997558519241921"/>
              <bgColor theme="9" tint="0.39997558519241921"/>
            </patternFill>
          </fill>
          <border>
            <vertical/>
            <horizontal/>
          </border>
        </dxf>
        <dxf>
          <fill>
            <patternFill patternType="solid">
              <fgColor auto="1"/>
              <bgColor theme="9" tint="0.59996337778862885"/>
            </patternFill>
          </fill>
          <border>
            <vertical/>
            <horizontal/>
          </border>
        </dxf>
        <dxf>
          <fill>
            <patternFill patternType="solid">
              <fgColor auto="1"/>
              <bgColor theme="9" tint="-0.24994659260841701"/>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3.xml"/><Relationship Id="rId19" Type="http://schemas.microsoft.com/office/2007/relationships/slicerCache" Target="slicerCaches/slicerCache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6.xml"/><Relationship Id="rId51" Type="http://schemas.openxmlformats.org/officeDocument/2006/relationships/customXml" Target="../customXml/item24.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4.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8.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Revenue.xlsx]reports!Regions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1"/>
                </a:solidFill>
              </a:rPr>
              <a:t>Revenue By Regions</a:t>
            </a:r>
          </a:p>
        </c:rich>
      </c:tx>
      <c:layout>
        <c:manualLayout>
          <c:xMode val="edge"/>
          <c:yMode val="edge"/>
          <c:x val="0.2299901671583087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163038910166445E-3"/>
          <c:y val="0.17573964497041419"/>
          <c:w val="0.95083579154375619"/>
          <c:h val="0.82426035502958583"/>
        </c:manualLayout>
      </c:layout>
      <c:barChart>
        <c:barDir val="bar"/>
        <c:grouping val="clustered"/>
        <c:varyColors val="0"/>
        <c:ser>
          <c:idx val="0"/>
          <c:order val="0"/>
          <c:tx>
            <c:strRef>
              <c:f>reports!$E$5</c:f>
              <c:strCache>
                <c:ptCount val="1"/>
                <c:pt idx="0">
                  <c:v>Total</c:v>
                </c:pt>
              </c:strCache>
            </c:strRef>
          </c:tx>
          <c:spPr>
            <a:solidFill>
              <a:schemeClr val="accent6"/>
            </a:solidFill>
            <a:ln>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reports!$D$6:$D$10</c:f>
              <c:strCache>
                <c:ptCount val="4"/>
                <c:pt idx="0">
                  <c:v>East</c:v>
                </c:pt>
                <c:pt idx="1">
                  <c:v>North</c:v>
                </c:pt>
                <c:pt idx="2">
                  <c:v>South</c:v>
                </c:pt>
                <c:pt idx="3">
                  <c:v>West</c:v>
                </c:pt>
              </c:strCache>
            </c:strRef>
          </c:cat>
          <c:val>
            <c:numRef>
              <c:f>reports!$E$6:$E$10</c:f>
              <c:numCache>
                <c:formatCode>0.00%</c:formatCode>
                <c:ptCount val="4"/>
                <c:pt idx="0">
                  <c:v>0.32427253350547691</c:v>
                </c:pt>
                <c:pt idx="1">
                  <c:v>0.26228049514537699</c:v>
                </c:pt>
                <c:pt idx="2">
                  <c:v>0.27446430492673723</c:v>
                </c:pt>
                <c:pt idx="3">
                  <c:v>0.13898266642240892</c:v>
                </c:pt>
              </c:numCache>
            </c:numRef>
          </c:val>
          <c:extLst>
            <c:ext xmlns:c16="http://schemas.microsoft.com/office/drawing/2014/chart" uri="{C3380CC4-5D6E-409C-BE32-E72D297353CC}">
              <c16:uniqueId val="{00000003-83F7-4555-9B54-18E125F15CE8}"/>
            </c:ext>
          </c:extLst>
        </c:ser>
        <c:dLbls>
          <c:dLblPos val="outEnd"/>
          <c:showLegendKey val="0"/>
          <c:showVal val="1"/>
          <c:showCatName val="0"/>
          <c:showSerName val="0"/>
          <c:showPercent val="0"/>
          <c:showBubbleSize val="0"/>
        </c:dLbls>
        <c:gapWidth val="182"/>
        <c:axId val="877641712"/>
        <c:axId val="1927059792"/>
      </c:barChart>
      <c:catAx>
        <c:axId val="877641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27059792"/>
        <c:crosses val="autoZero"/>
        <c:auto val="1"/>
        <c:lblAlgn val="ctr"/>
        <c:lblOffset val="100"/>
        <c:noMultiLvlLbl val="0"/>
      </c:catAx>
      <c:valAx>
        <c:axId val="1927059792"/>
        <c:scaling>
          <c:orientation val="minMax"/>
        </c:scaling>
        <c:delete val="1"/>
        <c:axPos val="b"/>
        <c:numFmt formatCode="0.00%" sourceLinked="1"/>
        <c:majorTickMark val="out"/>
        <c:minorTickMark val="none"/>
        <c:tickLblPos val="nextTo"/>
        <c:crossAx val="87764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Revenue.xlsx]reports!TopProducts</c:name>
    <c:fmtId val="10"/>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a:solidFill>
                  <a:schemeClr val="bg1"/>
                </a:solidFill>
              </a:rPr>
              <a:t>Top 5</a:t>
            </a:r>
            <a:r>
              <a:rPr lang="en-IN" sz="1050" b="1" baseline="0">
                <a:solidFill>
                  <a:schemeClr val="bg1"/>
                </a:solidFill>
              </a:rPr>
              <a:t> Products</a:t>
            </a:r>
            <a:endParaRPr lang="en-IN" sz="1050" b="1">
              <a:solidFill>
                <a:schemeClr val="bg1"/>
              </a:solidFill>
            </a:endParaRPr>
          </a:p>
        </c:rich>
      </c:tx>
      <c:layout>
        <c:manualLayout>
          <c:xMode val="edge"/>
          <c:yMode val="edge"/>
          <c:x val="0.22244031996000499"/>
          <c:y val="9.7465886939571145E-3"/>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9401324834396"/>
          <c:y val="0.12227095516569203"/>
          <c:w val="0.84170916135483065"/>
          <c:h val="0.68451136590382333"/>
        </c:manualLayout>
      </c:layout>
      <c:barChart>
        <c:barDir val="col"/>
        <c:grouping val="clustered"/>
        <c:varyColors val="0"/>
        <c:ser>
          <c:idx val="0"/>
          <c:order val="0"/>
          <c:tx>
            <c:strRef>
              <c:f>reports!$I$5</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reports!$H$6:$H$11</c:f>
              <c:strCache>
                <c:ptCount val="5"/>
                <c:pt idx="0">
                  <c:v>Headset</c:v>
                </c:pt>
                <c:pt idx="1">
                  <c:v>Keyboard</c:v>
                </c:pt>
                <c:pt idx="2">
                  <c:v>Laptop</c:v>
                </c:pt>
                <c:pt idx="3">
                  <c:v>Monitor</c:v>
                </c:pt>
                <c:pt idx="4">
                  <c:v>Speaker</c:v>
                </c:pt>
              </c:strCache>
            </c:strRef>
          </c:cat>
          <c:val>
            <c:numRef>
              <c:f>reports!$I$6:$I$11</c:f>
              <c:numCache>
                <c:formatCode>0.00%</c:formatCode>
                <c:ptCount val="5"/>
                <c:pt idx="0">
                  <c:v>0.22450858203745172</c:v>
                </c:pt>
                <c:pt idx="1">
                  <c:v>0.21196262068894187</c:v>
                </c:pt>
                <c:pt idx="2">
                  <c:v>0.19064069214817267</c:v>
                </c:pt>
                <c:pt idx="3">
                  <c:v>0.1869689557271331</c:v>
                </c:pt>
                <c:pt idx="4">
                  <c:v>0.18591914939830065</c:v>
                </c:pt>
              </c:numCache>
            </c:numRef>
          </c:val>
          <c:extLst>
            <c:ext xmlns:c16="http://schemas.microsoft.com/office/drawing/2014/chart" uri="{C3380CC4-5D6E-409C-BE32-E72D297353CC}">
              <c16:uniqueId val="{00000003-600E-4E46-80A5-31349C9D12C7}"/>
            </c:ext>
          </c:extLst>
        </c:ser>
        <c:dLbls>
          <c:dLblPos val="outEnd"/>
          <c:showLegendKey val="0"/>
          <c:showVal val="1"/>
          <c:showCatName val="0"/>
          <c:showSerName val="0"/>
          <c:showPercent val="0"/>
          <c:showBubbleSize val="0"/>
        </c:dLbls>
        <c:gapWidth val="219"/>
        <c:overlap val="-27"/>
        <c:axId val="1977425920"/>
        <c:axId val="1977409600"/>
      </c:barChart>
      <c:catAx>
        <c:axId val="1977425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77409600"/>
        <c:crosses val="autoZero"/>
        <c:auto val="1"/>
        <c:lblAlgn val="ctr"/>
        <c:lblOffset val="100"/>
        <c:noMultiLvlLbl val="0"/>
      </c:catAx>
      <c:valAx>
        <c:axId val="1977409600"/>
        <c:scaling>
          <c:orientation val="minMax"/>
        </c:scaling>
        <c:delete val="1"/>
        <c:axPos val="l"/>
        <c:numFmt formatCode="0.00%" sourceLinked="1"/>
        <c:majorTickMark val="none"/>
        <c:minorTickMark val="none"/>
        <c:tickLblPos val="nextTo"/>
        <c:crossAx val="197742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Revenue.xlsx]reports!Order Status</c:name>
    <c:fmtId val="13"/>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a:solidFill>
                  <a:schemeClr val="bg1"/>
                </a:solidFill>
              </a:rPr>
              <a:t>Order Status Distribution</a:t>
            </a:r>
          </a:p>
        </c:rich>
      </c:tx>
      <c:layout>
        <c:manualLayout>
          <c:xMode val="edge"/>
          <c:yMode val="edge"/>
          <c:x val="0.14984901080913274"/>
          <c:y val="6.37328309421445E-3"/>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0.27479091995221028"/>
              <c:y val="-3.085926382696141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827336099116642"/>
                  <c:h val="0.31150347004170492"/>
                </c:manualLayout>
              </c15:layout>
            </c:ext>
          </c:extLst>
        </c:dLbl>
      </c:pivotFmt>
      <c:pivotFmt>
        <c:idx val="18"/>
        <c:spPr>
          <a:solidFill>
            <a:schemeClr val="accent6"/>
          </a:solidFill>
          <a:ln w="19050">
            <a:solidFill>
              <a:schemeClr val="lt1"/>
            </a:solidFill>
          </a:ln>
          <a:effectLst/>
        </c:spPr>
        <c:dLbl>
          <c:idx val="0"/>
          <c:layout>
            <c:manualLayout>
              <c:x val="0.14336917562724014"/>
              <c:y val="0.10040200170761777"/>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612282335675783"/>
                  <c:h val="0.31150347004170492"/>
                </c:manualLayout>
              </c15:layout>
            </c:ext>
          </c:extLst>
        </c:dLbl>
      </c:pivotFmt>
      <c:pivotFmt>
        <c:idx val="19"/>
        <c:spPr>
          <a:solidFill>
            <a:schemeClr val="accent6"/>
          </a:solidFill>
          <a:ln w="19050">
            <a:solidFill>
              <a:schemeClr val="lt1"/>
            </a:solidFill>
          </a:ln>
          <a:effectLst/>
        </c:spPr>
        <c:dLbl>
          <c:idx val="0"/>
          <c:layout>
            <c:manualLayout>
              <c:x val="-0.1612900873949896"/>
              <c:y val="8.032168042247731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993452431349304"/>
                  <c:h val="0.31150347004170492"/>
                </c:manualLayout>
              </c15:layout>
            </c:ext>
          </c:extLst>
        </c:dLbl>
      </c:pivotFmt>
      <c:pivotFmt>
        <c:idx val="20"/>
        <c:spPr>
          <a:solidFill>
            <a:schemeClr val="accent6"/>
          </a:solidFill>
          <a:ln w="19050">
            <a:solidFill>
              <a:schemeClr val="lt1"/>
            </a:solidFill>
          </a:ln>
          <a:effectLst/>
        </c:spPr>
        <c:dLbl>
          <c:idx val="0"/>
          <c:layout>
            <c:manualLayout>
              <c:x val="-0.22102724390633965"/>
              <c:y val="-2.0449514593808303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433070866141726"/>
                  <c:h val="0.36763843936685831"/>
                </c:manualLayout>
              </c15:layout>
            </c:ext>
          </c:extLst>
        </c:dLbl>
      </c:pivotFmt>
    </c:pivotFmts>
    <c:plotArea>
      <c:layout>
        <c:manualLayout>
          <c:layoutTarget val="inner"/>
          <c:xMode val="edge"/>
          <c:yMode val="edge"/>
          <c:x val="0.259562178383616"/>
          <c:y val="0.19749075040318756"/>
          <c:w val="0.46512196728097155"/>
          <c:h val="0.79612901148092674"/>
        </c:manualLayout>
      </c:layout>
      <c:doughnutChart>
        <c:varyColors val="1"/>
        <c:ser>
          <c:idx val="0"/>
          <c:order val="0"/>
          <c:tx>
            <c:strRef>
              <c:f>reports!$R$5</c:f>
              <c:strCache>
                <c:ptCount val="1"/>
                <c:pt idx="0">
                  <c:v>Total</c:v>
                </c:pt>
              </c:strCache>
            </c:strRef>
          </c:tx>
          <c:dPt>
            <c:idx val="0"/>
            <c:bubble3D val="0"/>
            <c:spPr>
              <a:solidFill>
                <a:schemeClr val="accent6">
                  <a:tint val="58000"/>
                </a:schemeClr>
              </a:solidFill>
              <a:ln w="19050">
                <a:solidFill>
                  <a:schemeClr val="lt1"/>
                </a:solidFill>
              </a:ln>
              <a:effectLst/>
            </c:spPr>
          </c:dPt>
          <c:dPt>
            <c:idx val="1"/>
            <c:bubble3D val="0"/>
            <c:spPr>
              <a:solidFill>
                <a:schemeClr val="accent6">
                  <a:tint val="86000"/>
                </a:schemeClr>
              </a:solidFill>
              <a:ln w="19050">
                <a:solidFill>
                  <a:schemeClr val="lt1"/>
                </a:solidFill>
              </a:ln>
              <a:effectLst/>
            </c:spPr>
          </c:dPt>
          <c:dPt>
            <c:idx val="2"/>
            <c:bubble3D val="0"/>
            <c:spPr>
              <a:solidFill>
                <a:schemeClr val="accent6">
                  <a:shade val="86000"/>
                </a:schemeClr>
              </a:solidFill>
              <a:ln w="19050">
                <a:solidFill>
                  <a:schemeClr val="lt1"/>
                </a:solidFill>
              </a:ln>
              <a:effectLst/>
            </c:spPr>
          </c:dPt>
          <c:dPt>
            <c:idx val="3"/>
            <c:bubble3D val="0"/>
            <c:spPr>
              <a:solidFill>
                <a:schemeClr val="accent6">
                  <a:shade val="58000"/>
                </a:schemeClr>
              </a:solidFill>
              <a:ln w="19050">
                <a:solidFill>
                  <a:schemeClr val="lt1"/>
                </a:solidFill>
              </a:ln>
              <a:effectLst/>
            </c:spPr>
          </c:dPt>
          <c:dLbls>
            <c:dLbl>
              <c:idx val="0"/>
              <c:layout>
                <c:manualLayout>
                  <c:x val="0.27479091995221028"/>
                  <c:y val="-3.085926382696141E-2"/>
                </c:manualLayout>
              </c:layout>
              <c:showLegendKey val="0"/>
              <c:showVal val="1"/>
              <c:showCatName val="1"/>
              <c:showSerName val="0"/>
              <c:showPercent val="0"/>
              <c:showBubbleSize val="0"/>
              <c:extLst>
                <c:ext xmlns:c15="http://schemas.microsoft.com/office/drawing/2012/chart" uri="{CE6537A1-D6FC-4f65-9D91-7224C49458BB}">
                  <c15:layout>
                    <c:manualLayout>
                      <c:w val="0.30827336099116642"/>
                      <c:h val="0.31150347004170492"/>
                    </c:manualLayout>
                  </c15:layout>
                </c:ext>
              </c:extLst>
            </c:dLbl>
            <c:dLbl>
              <c:idx val="1"/>
              <c:layout>
                <c:manualLayout>
                  <c:x val="0.14336917562724014"/>
                  <c:y val="0.10040200170761777"/>
                </c:manualLayout>
              </c:layout>
              <c:showLegendKey val="0"/>
              <c:showVal val="1"/>
              <c:showCatName val="1"/>
              <c:showSerName val="0"/>
              <c:showPercent val="0"/>
              <c:showBubbleSize val="0"/>
              <c:extLst>
                <c:ext xmlns:c15="http://schemas.microsoft.com/office/drawing/2012/chart" uri="{CE6537A1-D6FC-4f65-9D91-7224C49458BB}">
                  <c15:layout>
                    <c:manualLayout>
                      <c:w val="0.30612282335675783"/>
                      <c:h val="0.31150347004170492"/>
                    </c:manualLayout>
                  </c15:layout>
                </c:ext>
              </c:extLst>
            </c:dLbl>
            <c:dLbl>
              <c:idx val="2"/>
              <c:layout>
                <c:manualLayout>
                  <c:x val="-0.1612900873949896"/>
                  <c:y val="8.032168042247731E-2"/>
                </c:manualLayout>
              </c:layout>
              <c:showLegendKey val="0"/>
              <c:showVal val="1"/>
              <c:showCatName val="1"/>
              <c:showSerName val="0"/>
              <c:showPercent val="0"/>
              <c:showBubbleSize val="0"/>
              <c:extLst>
                <c:ext xmlns:c15="http://schemas.microsoft.com/office/drawing/2012/chart" uri="{CE6537A1-D6FC-4f65-9D91-7224C49458BB}">
                  <c15:layout>
                    <c:manualLayout>
                      <c:w val="0.28993452431349304"/>
                      <c:h val="0.31150347004170492"/>
                    </c:manualLayout>
                  </c15:layout>
                </c:ext>
              </c:extLst>
            </c:dLbl>
            <c:dLbl>
              <c:idx val="3"/>
              <c:layout>
                <c:manualLayout>
                  <c:x val="-0.22102724390633965"/>
                  <c:y val="-2.0449514593808303E-2"/>
                </c:manualLayout>
              </c:layout>
              <c:showLegendKey val="0"/>
              <c:showVal val="1"/>
              <c:showCatName val="1"/>
              <c:showSerName val="0"/>
              <c:showPercent val="0"/>
              <c:showBubbleSize val="0"/>
              <c:extLst>
                <c:ext xmlns:c15="http://schemas.microsoft.com/office/drawing/2012/chart" uri="{CE6537A1-D6FC-4f65-9D91-7224C49458BB}">
                  <c15:layout>
                    <c:manualLayout>
                      <c:w val="0.30433070866141726"/>
                      <c:h val="0.36763843936685831"/>
                    </c:manualLayout>
                  </c15:layout>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reports!$Q$6:$Q$10</c:f>
              <c:strCache>
                <c:ptCount val="4"/>
                <c:pt idx="0">
                  <c:v>Cancelled</c:v>
                </c:pt>
                <c:pt idx="1">
                  <c:v>Delivered</c:v>
                </c:pt>
                <c:pt idx="2">
                  <c:v>Returned</c:v>
                </c:pt>
                <c:pt idx="3">
                  <c:v>Shipped</c:v>
                </c:pt>
              </c:strCache>
            </c:strRef>
          </c:cat>
          <c:val>
            <c:numRef>
              <c:f>reports!$R$6:$R$10</c:f>
              <c:numCache>
                <c:formatCode>0.00%</c:formatCode>
                <c:ptCount val="4"/>
                <c:pt idx="0">
                  <c:v>0.18027676730668016</c:v>
                </c:pt>
                <c:pt idx="1">
                  <c:v>0.30819513868897552</c:v>
                </c:pt>
                <c:pt idx="2">
                  <c:v>0.32227485395421329</c:v>
                </c:pt>
                <c:pt idx="3">
                  <c:v>0.189253240050131</c:v>
                </c:pt>
              </c:numCache>
            </c:numRef>
          </c:val>
          <c:extLst>
            <c:ext xmlns:c16="http://schemas.microsoft.com/office/drawing/2014/chart" uri="{C3380CC4-5D6E-409C-BE32-E72D297353CC}">
              <c16:uniqueId val="{0000000B-7AAE-43BB-B202-6F3EA6AA6F6C}"/>
            </c:ext>
          </c:extLst>
        </c:ser>
        <c:dLbls>
          <c:showLegendKey val="0"/>
          <c:showVal val="1"/>
          <c:showCatName val="0"/>
          <c:showSerName val="0"/>
          <c:showPercent val="0"/>
          <c:showBubbleSize val="0"/>
          <c:showLeaderLines val="1"/>
        </c:dLbls>
        <c:firstSliceAng val="0"/>
        <c:holeSize val="3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Revenue.xlsx]reports!Payment Mode</c:name>
    <c:fmtId val="21"/>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i="0" u="none" strike="noStrike" baseline="0">
                <a:solidFill>
                  <a:schemeClr val="bg1"/>
                </a:solidFill>
              </a:rPr>
              <a:t>Payment Method Analysis</a:t>
            </a:r>
            <a:endParaRPr lang="en-US" sz="1050" b="1">
              <a:solidFill>
                <a:schemeClr val="bg1"/>
              </a:solidFill>
            </a:endParaRPr>
          </a:p>
        </c:rich>
      </c:tx>
      <c:layout>
        <c:manualLayout>
          <c:xMode val="edge"/>
          <c:yMode val="edge"/>
          <c:x val="0.13227025313111029"/>
          <c:y val="4.036927816455375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a:sp3d contourW="25400">
            <a:contourClr>
              <a:schemeClr val="lt1"/>
            </a:contourClr>
          </a:sp3d>
        </c:spPr>
      </c:pivotFmt>
      <c:pivotFmt>
        <c:idx val="15"/>
        <c:spPr>
          <a:solidFill>
            <a:schemeClr val="accent6"/>
          </a:solidFill>
          <a:ln w="19050">
            <a:solidFill>
              <a:schemeClr val="lt1"/>
            </a:solidFill>
          </a:ln>
          <a:effectLst/>
          <a:sp3d contourW="25400">
            <a:contourClr>
              <a:schemeClr val="lt1"/>
            </a:contourClr>
          </a:sp3d>
        </c:spPr>
      </c:pivotFmt>
      <c:pivotFmt>
        <c:idx val="16"/>
        <c:spPr>
          <a:solidFill>
            <a:schemeClr val="accent6"/>
          </a:solidFill>
          <a:ln w="19050">
            <a:solidFill>
              <a:schemeClr val="lt1"/>
            </a:solidFill>
          </a:ln>
          <a:effectLst/>
          <a:sp3d contourW="25400">
            <a:contourClr>
              <a:schemeClr val="lt1"/>
            </a:contourClr>
          </a:sp3d>
        </c:spPr>
      </c:pivotFmt>
      <c:pivotFmt>
        <c:idx val="17"/>
        <c:spPr>
          <a:solidFill>
            <a:schemeClr val="accent6"/>
          </a:solidFill>
          <a:ln w="19050">
            <a:solidFill>
              <a:schemeClr val="lt1"/>
            </a:solidFill>
          </a:ln>
          <a:effectLst/>
          <a:sp3d contourW="25400">
            <a:contourClr>
              <a:schemeClr val="lt1"/>
            </a:contourClr>
          </a:sp3d>
        </c:spPr>
      </c:pivotFmt>
      <c:pivotFmt>
        <c:idx val="18"/>
        <c:spPr>
          <a:solidFill>
            <a:schemeClr val="accent6"/>
          </a:solidFill>
          <a:ln w="19050">
            <a:solidFill>
              <a:schemeClr val="lt1"/>
            </a:solidFill>
          </a:ln>
          <a:effectLst/>
          <a:sp3d contourW="25400">
            <a:contourClr>
              <a:schemeClr val="lt1"/>
            </a:contourClr>
          </a:sp3d>
        </c:spPr>
      </c:pivotFmt>
      <c:pivotFmt>
        <c:idx val="19"/>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6"/>
          </a:solidFill>
          <a:ln w="25400">
            <a:solidFill>
              <a:schemeClr val="lt1"/>
            </a:solidFill>
          </a:ln>
          <a:effectLst/>
          <a:sp3d contourW="25400">
            <a:contourClr>
              <a:schemeClr val="lt1"/>
            </a:contourClr>
          </a:sp3d>
        </c:spPr>
      </c:pivotFmt>
      <c:pivotFmt>
        <c:idx val="21"/>
        <c:spPr>
          <a:solidFill>
            <a:schemeClr val="accent6"/>
          </a:solidFill>
          <a:ln w="25400">
            <a:solidFill>
              <a:schemeClr val="lt1"/>
            </a:solidFill>
          </a:ln>
          <a:effectLst/>
          <a:sp3d contourW="25400">
            <a:contourClr>
              <a:schemeClr val="lt1"/>
            </a:contourClr>
          </a:sp3d>
        </c:spPr>
      </c:pivotFmt>
      <c:pivotFmt>
        <c:idx val="22"/>
        <c:spPr>
          <a:solidFill>
            <a:schemeClr val="accent6"/>
          </a:solidFill>
          <a:ln w="25400">
            <a:solidFill>
              <a:schemeClr val="lt1"/>
            </a:solidFill>
          </a:ln>
          <a:effectLst/>
          <a:sp3d contourW="25400">
            <a:contourClr>
              <a:schemeClr val="lt1"/>
            </a:contourClr>
          </a:sp3d>
        </c:spPr>
      </c:pivotFmt>
      <c:pivotFmt>
        <c:idx val="23"/>
        <c:spPr>
          <a:solidFill>
            <a:schemeClr val="accent6"/>
          </a:solidFill>
          <a:ln w="25400">
            <a:solidFill>
              <a:schemeClr val="lt1"/>
            </a:solidFill>
          </a:ln>
          <a:effectLst/>
          <a:sp3d contourW="25400">
            <a:contourClr>
              <a:schemeClr val="lt1"/>
            </a:contourClr>
          </a:sp3d>
        </c:spPr>
        <c:dLbl>
          <c:idx val="0"/>
          <c:layout>
            <c:manualLayout>
              <c:x val="0"/>
              <c:y val="-0.115425774480892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32578299776286351"/>
                  <c:h val="0.15926640926640925"/>
                </c:manualLayout>
              </c15:layout>
            </c:ext>
          </c:extLst>
        </c:dLbl>
      </c:pivotFmt>
      <c:pivotFmt>
        <c:idx val="24"/>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758371646497209E-2"/>
          <c:y val="0.15046159770569223"/>
          <c:w val="0.78235163786344886"/>
          <c:h val="0.84953863898500581"/>
        </c:manualLayout>
      </c:layout>
      <c:pie3DChart>
        <c:varyColors val="1"/>
        <c:ser>
          <c:idx val="0"/>
          <c:order val="0"/>
          <c:tx>
            <c:strRef>
              <c:f>reports!$U$5</c:f>
              <c:strCache>
                <c:ptCount val="1"/>
                <c:pt idx="0">
                  <c:v>Total</c:v>
                </c:pt>
              </c:strCache>
            </c:strRef>
          </c:tx>
          <c:dPt>
            <c:idx val="0"/>
            <c:bubble3D val="0"/>
            <c:spPr>
              <a:solidFill>
                <a:schemeClr val="accent6">
                  <a:tint val="54000"/>
                </a:schemeClr>
              </a:solidFill>
              <a:ln w="25400">
                <a:solidFill>
                  <a:schemeClr val="lt1"/>
                </a:solidFill>
              </a:ln>
              <a:effectLst/>
              <a:sp3d contourW="25400">
                <a:contourClr>
                  <a:schemeClr val="lt1"/>
                </a:contourClr>
              </a:sp3d>
            </c:spPr>
          </c:dPt>
          <c:dPt>
            <c:idx val="1"/>
            <c:bubble3D val="0"/>
            <c:spPr>
              <a:solidFill>
                <a:schemeClr val="accent6">
                  <a:tint val="77000"/>
                </a:schemeClr>
              </a:solidFill>
              <a:ln w="25400">
                <a:solidFill>
                  <a:schemeClr val="lt1"/>
                </a:solidFill>
              </a:ln>
              <a:effectLst/>
              <a:sp3d contourW="25400">
                <a:contourClr>
                  <a:schemeClr val="lt1"/>
                </a:contourClr>
              </a:sp3d>
            </c:spPr>
          </c:dPt>
          <c:dPt>
            <c:idx val="2"/>
            <c:bubble3D val="0"/>
            <c:spPr>
              <a:solidFill>
                <a:schemeClr val="accent6"/>
              </a:solidFill>
              <a:ln w="25400">
                <a:solidFill>
                  <a:schemeClr val="lt1"/>
                </a:solidFill>
              </a:ln>
              <a:effectLst/>
              <a:sp3d contourW="25400">
                <a:contourClr>
                  <a:schemeClr val="lt1"/>
                </a:contourClr>
              </a:sp3d>
            </c:spPr>
          </c:dPt>
          <c:dPt>
            <c:idx val="3"/>
            <c:bubble3D val="0"/>
            <c:spPr>
              <a:solidFill>
                <a:schemeClr val="accent6">
                  <a:shade val="76000"/>
                </a:schemeClr>
              </a:solidFill>
              <a:ln w="25400">
                <a:solidFill>
                  <a:schemeClr val="lt1"/>
                </a:solidFill>
              </a:ln>
              <a:effectLst/>
              <a:sp3d contourW="25400">
                <a:contourClr>
                  <a:schemeClr val="lt1"/>
                </a:contourClr>
              </a:sp3d>
            </c:spPr>
          </c:dPt>
          <c:dPt>
            <c:idx val="4"/>
            <c:bubble3D val="0"/>
            <c:spPr>
              <a:solidFill>
                <a:schemeClr val="accent6">
                  <a:shade val="53000"/>
                </a:schemeClr>
              </a:solidFill>
              <a:ln w="25400">
                <a:solidFill>
                  <a:schemeClr val="lt1"/>
                </a:solidFill>
              </a:ln>
              <a:effectLst/>
              <a:sp3d contourW="25400">
                <a:contourClr>
                  <a:schemeClr val="lt1"/>
                </a:contourClr>
              </a:sp3d>
            </c:spPr>
          </c:dPt>
          <c:dLbls>
            <c:dLbl>
              <c:idx val="3"/>
              <c:layout>
                <c:manualLayout>
                  <c:x val="0"/>
                  <c:y val="-0.11542577448089258"/>
                </c:manualLayout>
              </c:layout>
              <c:dLblPos val="bestFit"/>
              <c:showLegendKey val="0"/>
              <c:showVal val="0"/>
              <c:showCatName val="1"/>
              <c:showSerName val="0"/>
              <c:showPercent val="0"/>
              <c:showBubbleSize val="0"/>
              <c:extLst>
                <c:ext xmlns:c15="http://schemas.microsoft.com/office/drawing/2012/chart" uri="{CE6537A1-D6FC-4f65-9D91-7224C49458BB}">
                  <c15:layout>
                    <c:manualLayout>
                      <c:w val="0.32578299776286351"/>
                      <c:h val="0.1592664092664092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reports!$T$6:$T$11</c:f>
              <c:strCache>
                <c:ptCount val="5"/>
                <c:pt idx="0">
                  <c:v>cash</c:v>
                </c:pt>
                <c:pt idx="1">
                  <c:v>Credit Card</c:v>
                </c:pt>
                <c:pt idx="2">
                  <c:v>Debit Card</c:v>
                </c:pt>
                <c:pt idx="3">
                  <c:v>Net Banking</c:v>
                </c:pt>
                <c:pt idx="4">
                  <c:v>UPI</c:v>
                </c:pt>
              </c:strCache>
            </c:strRef>
          </c:cat>
          <c:val>
            <c:numRef>
              <c:f>reports!$U$6:$U$11</c:f>
              <c:numCache>
                <c:formatCode>0.00%</c:formatCode>
                <c:ptCount val="5"/>
                <c:pt idx="0">
                  <c:v>0.28609562691371593</c:v>
                </c:pt>
                <c:pt idx="1">
                  <c:v>0.17624360640769529</c:v>
                </c:pt>
                <c:pt idx="2">
                  <c:v>0.20022157668385193</c:v>
                </c:pt>
                <c:pt idx="3">
                  <c:v>0.14609521981744641</c:v>
                </c:pt>
                <c:pt idx="4">
                  <c:v>0.19134397017729043</c:v>
                </c:pt>
              </c:numCache>
            </c:numRef>
          </c:val>
          <c:extLst>
            <c:ext xmlns:c16="http://schemas.microsoft.com/office/drawing/2014/chart" uri="{C3380CC4-5D6E-409C-BE32-E72D297353CC}">
              <c16:uniqueId val="{0000000D-33F3-477F-8796-358AAF0E467D}"/>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algn="ctr" rtl="0">
              <a:defRPr sz="1050" b="1">
                <a:solidFill>
                  <a:schemeClr val="bg1"/>
                </a:solidFill>
              </a:defRPr>
            </a:pPr>
            <a:r>
              <a:rPr lang="en-IN" sz="1050" b="1">
                <a:solidFill>
                  <a:schemeClr val="bg1"/>
                </a:solidFill>
              </a:rPr>
              <a:t>Revenue by Salesperson</a:t>
            </a:r>
            <a:endParaRPr lang="en-US" sz="1050" b="1" i="0" u="none" strike="noStrike" baseline="0">
              <a:solidFill>
                <a:schemeClr val="bg1"/>
              </a:solidFill>
              <a:latin typeface="Calibri" panose="020F0502020204030204"/>
            </a:endParaRPr>
          </a:p>
        </cx:rich>
      </cx:tx>
      <cx:spPr>
        <a:noFill/>
      </cx:spPr>
    </cx:title>
    <cx:plotArea>
      <cx:plotAreaRegion>
        <cx:plotSurface>
          <cx:spPr>
            <a:ln>
              <a:solidFill>
                <a:schemeClr val="accent6">
                  <a:lumMod val="50000"/>
                </a:schemeClr>
              </a:solidFill>
            </a:ln>
          </cx:spPr>
        </cx:plotSurface>
        <cx:series layoutId="funnel" uniqueId="{ABB487D6-5663-4A0A-9403-7E7B233F1751}">
          <cx:spPr>
            <a:solidFill>
              <a:schemeClr val="accent6"/>
            </a:solidFill>
            <a:ln w="9525">
              <a:solidFill>
                <a:schemeClr val="bg1"/>
              </a:solidFill>
            </a:ln>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Revenue By Months</cx:v>
        </cx:txData>
      </cx:tx>
      <cx:txPr>
        <a:bodyPr spcFirstLastPara="1" vertOverflow="ellipsis" horzOverflow="overflow" wrap="square" lIns="0" tIns="0" rIns="0" bIns="0" anchor="ctr" anchorCtr="1"/>
        <a:lstStyle/>
        <a:p>
          <a:pPr algn="ctr" rtl="0">
            <a:defRPr/>
          </a:pPr>
          <a:r>
            <a:rPr lang="en-US" sz="1050" b="1" i="0" u="none" strike="noStrike" baseline="0">
              <a:solidFill>
                <a:schemeClr val="bg1"/>
              </a:solidFill>
              <a:latin typeface="Calibri" panose="020F0502020204030204"/>
            </a:rPr>
            <a:t>Revenue By Months</a:t>
          </a:r>
        </a:p>
      </cx:txPr>
    </cx:title>
    <cx:plotArea>
      <cx:plotAreaRegion>
        <cx:series layoutId="treemap" uniqueId="{DCC2302C-41AD-44B1-BF71-62F5895E2DB6}">
          <cx:dataLabels pos="inEnd">
            <cx:txPr>
              <a:bodyPr spcFirstLastPara="1" vertOverflow="ellipsis" horzOverflow="overflow" wrap="square" lIns="0" tIns="0" rIns="0" bIns="0" anchor="ctr" anchorCtr="1"/>
              <a:lstStyle/>
              <a:p>
                <a:pPr algn="ctr" rtl="0">
                  <a:defRPr sz="800" b="1">
                    <a:solidFill>
                      <a:schemeClr val="bg1"/>
                    </a:solidFill>
                  </a:defRPr>
                </a:pPr>
                <a:endParaRPr lang="en-US" sz="800" b="1" i="0" u="none" strike="noStrike" baseline="0">
                  <a:solidFill>
                    <a:schemeClr val="bg1"/>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2.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1.xml"/><Relationship Id="rId16" Type="http://schemas.openxmlformats.org/officeDocument/2006/relationships/image" Target="../media/image10.svg"/><Relationship Id="rId20" Type="http://schemas.openxmlformats.org/officeDocument/2006/relationships/image" Target="../media/image14.svg"/><Relationship Id="rId1" Type="http://schemas.microsoft.com/office/2014/relationships/chartEx" Target="../charts/chartEx1.xml"/><Relationship Id="rId6" Type="http://schemas.microsoft.com/office/2014/relationships/chartEx" Target="../charts/chartEx2.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30480</xdr:colOff>
      <xdr:row>15</xdr:row>
      <xdr:rowOff>30480</xdr:rowOff>
    </xdr:from>
    <xdr:to>
      <xdr:col>8</xdr:col>
      <xdr:colOff>15240</xdr:colOff>
      <xdr:row>26</xdr:row>
      <xdr:rowOff>160020</xdr:rowOff>
    </xdr:to>
    <xdr:grpSp>
      <xdr:nvGrpSpPr>
        <xdr:cNvPr id="30" name="Group 29">
          <a:extLst>
            <a:ext uri="{FF2B5EF4-FFF2-40B4-BE49-F238E27FC236}">
              <a16:creationId xmlns:a16="http://schemas.microsoft.com/office/drawing/2014/main" id="{C63189FF-2D31-48F2-2C46-6AB6E005B9BB}"/>
            </a:ext>
          </a:extLst>
        </xdr:cNvPr>
        <xdr:cNvGrpSpPr/>
      </xdr:nvGrpSpPr>
      <xdr:grpSpPr>
        <a:xfrm>
          <a:off x="30480" y="2773680"/>
          <a:ext cx="4861560" cy="2141220"/>
          <a:chOff x="30480" y="1767840"/>
          <a:chExt cx="4655820" cy="967740"/>
        </a:xfrm>
      </xdr:grpSpPr>
      <xdr:sp macro="" textlink="">
        <xdr:nvSpPr>
          <xdr:cNvPr id="33" name="Rectangle: Rounded Corners 32">
            <a:extLst>
              <a:ext uri="{FF2B5EF4-FFF2-40B4-BE49-F238E27FC236}">
                <a16:creationId xmlns:a16="http://schemas.microsoft.com/office/drawing/2014/main" id="{8F10C2AA-B2BE-8310-F114-56CA959944D5}"/>
              </a:ext>
            </a:extLst>
          </xdr:cNvPr>
          <xdr:cNvSpPr/>
        </xdr:nvSpPr>
        <xdr:spPr>
          <a:xfrm>
            <a:off x="30480" y="1767840"/>
            <a:ext cx="2301240" cy="96774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A2A15573-F03B-6010-15D5-67E9558FBFE3}"/>
              </a:ext>
            </a:extLst>
          </xdr:cNvPr>
          <xdr:cNvSpPr/>
        </xdr:nvSpPr>
        <xdr:spPr>
          <a:xfrm>
            <a:off x="2385060" y="1767840"/>
            <a:ext cx="2301240" cy="96774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76200</xdr:colOff>
      <xdr:row>11</xdr:row>
      <xdr:rowOff>152400</xdr:rowOff>
    </xdr:from>
    <xdr:to>
      <xdr:col>10</xdr:col>
      <xdr:colOff>510540</xdr:colOff>
      <xdr:row>26</xdr:row>
      <xdr:rowOff>137160</xdr:rowOff>
    </xdr:to>
    <xdr:sp macro="" textlink="">
      <xdr:nvSpPr>
        <xdr:cNvPr id="31" name="Rectangle: Rounded Corners 30">
          <a:extLst>
            <a:ext uri="{FF2B5EF4-FFF2-40B4-BE49-F238E27FC236}">
              <a16:creationId xmlns:a16="http://schemas.microsoft.com/office/drawing/2014/main" id="{7C3991FA-9957-1BEA-953F-00C653F2CB8E}"/>
            </a:ext>
          </a:extLst>
        </xdr:cNvPr>
        <xdr:cNvSpPr/>
      </xdr:nvSpPr>
      <xdr:spPr>
        <a:xfrm>
          <a:off x="4953000" y="2164080"/>
          <a:ext cx="1653540" cy="272796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563880</xdr:colOff>
      <xdr:row>19</xdr:row>
      <xdr:rowOff>106680</xdr:rowOff>
    </xdr:from>
    <xdr:to>
      <xdr:col>14</xdr:col>
      <xdr:colOff>403860</xdr:colOff>
      <xdr:row>26</xdr:row>
      <xdr:rowOff>167640</xdr:rowOff>
    </xdr:to>
    <xdr:sp macro="" textlink="">
      <xdr:nvSpPr>
        <xdr:cNvPr id="27" name="Rectangle: Rounded Corners 26">
          <a:extLst>
            <a:ext uri="{FF2B5EF4-FFF2-40B4-BE49-F238E27FC236}">
              <a16:creationId xmlns:a16="http://schemas.microsoft.com/office/drawing/2014/main" id="{C50533CC-CFEB-DEF3-31CB-79EEB53CE3ED}"/>
            </a:ext>
          </a:extLst>
        </xdr:cNvPr>
        <xdr:cNvSpPr/>
      </xdr:nvSpPr>
      <xdr:spPr>
        <a:xfrm>
          <a:off x="6659880" y="3581400"/>
          <a:ext cx="2278380" cy="134112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114300</xdr:colOff>
      <xdr:row>0</xdr:row>
      <xdr:rowOff>38100</xdr:rowOff>
    </xdr:from>
    <xdr:to>
      <xdr:col>17</xdr:col>
      <xdr:colOff>594360</xdr:colOff>
      <xdr:row>11</xdr:row>
      <xdr:rowOff>114300</xdr:rowOff>
    </xdr:to>
    <xdr:sp macro="" textlink="">
      <xdr:nvSpPr>
        <xdr:cNvPr id="14" name="Rectangle: Rounded Corners 13">
          <a:extLst>
            <a:ext uri="{FF2B5EF4-FFF2-40B4-BE49-F238E27FC236}">
              <a16:creationId xmlns:a16="http://schemas.microsoft.com/office/drawing/2014/main" id="{0B283F48-1F9C-52D9-E769-740CE6D36A91}"/>
            </a:ext>
          </a:extLst>
        </xdr:cNvPr>
        <xdr:cNvSpPr/>
      </xdr:nvSpPr>
      <xdr:spPr>
        <a:xfrm>
          <a:off x="9867900" y="38100"/>
          <a:ext cx="1089660" cy="208788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601980</xdr:colOff>
      <xdr:row>4</xdr:row>
      <xdr:rowOff>68580</xdr:rowOff>
    </xdr:from>
    <xdr:to>
      <xdr:col>16</xdr:col>
      <xdr:colOff>53340</xdr:colOff>
      <xdr:row>11</xdr:row>
      <xdr:rowOff>114300</xdr:rowOff>
    </xdr:to>
    <xdr:sp macro="" textlink="">
      <xdr:nvSpPr>
        <xdr:cNvPr id="17" name="Rectangle: Rounded Corners 16">
          <a:extLst>
            <a:ext uri="{FF2B5EF4-FFF2-40B4-BE49-F238E27FC236}">
              <a16:creationId xmlns:a16="http://schemas.microsoft.com/office/drawing/2014/main" id="{E91E476A-B30D-7F3F-13B9-930268BE4E20}"/>
            </a:ext>
          </a:extLst>
        </xdr:cNvPr>
        <xdr:cNvSpPr/>
      </xdr:nvSpPr>
      <xdr:spPr>
        <a:xfrm>
          <a:off x="6697980" y="800100"/>
          <a:ext cx="3108960" cy="132588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518160</xdr:colOff>
      <xdr:row>0</xdr:row>
      <xdr:rowOff>53340</xdr:rowOff>
    </xdr:from>
    <xdr:to>
      <xdr:col>16</xdr:col>
      <xdr:colOff>53340</xdr:colOff>
      <xdr:row>4</xdr:row>
      <xdr:rowOff>0</xdr:rowOff>
    </xdr:to>
    <xdr:sp macro="" textlink="">
      <xdr:nvSpPr>
        <xdr:cNvPr id="13" name="Rectangle: Rounded Corners 12">
          <a:extLst>
            <a:ext uri="{FF2B5EF4-FFF2-40B4-BE49-F238E27FC236}">
              <a16:creationId xmlns:a16="http://schemas.microsoft.com/office/drawing/2014/main" id="{E97AAD90-909F-9C81-69C1-E6440E860F41}"/>
            </a:ext>
          </a:extLst>
        </xdr:cNvPr>
        <xdr:cNvSpPr/>
      </xdr:nvSpPr>
      <xdr:spPr>
        <a:xfrm>
          <a:off x="7833360" y="53340"/>
          <a:ext cx="1973580" cy="67818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0</xdr:row>
      <xdr:rowOff>38100</xdr:rowOff>
    </xdr:from>
    <xdr:to>
      <xdr:col>8</xdr:col>
      <xdr:colOff>30480</xdr:colOff>
      <xdr:row>3</xdr:row>
      <xdr:rowOff>167640</xdr:rowOff>
    </xdr:to>
    <xdr:sp macro="" textlink="">
      <xdr:nvSpPr>
        <xdr:cNvPr id="2" name="Rectangle: Rounded Corners 1">
          <a:extLst>
            <a:ext uri="{FF2B5EF4-FFF2-40B4-BE49-F238E27FC236}">
              <a16:creationId xmlns:a16="http://schemas.microsoft.com/office/drawing/2014/main" id="{B7505F09-AAA5-FD20-9641-01731ACC55DB}"/>
            </a:ext>
          </a:extLst>
        </xdr:cNvPr>
        <xdr:cNvSpPr/>
      </xdr:nvSpPr>
      <xdr:spPr>
        <a:xfrm>
          <a:off x="30480" y="38100"/>
          <a:ext cx="4876800" cy="67818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114300</xdr:colOff>
      <xdr:row>0</xdr:row>
      <xdr:rowOff>45720</xdr:rowOff>
    </xdr:from>
    <xdr:to>
      <xdr:col>8</xdr:col>
      <xdr:colOff>7620</xdr:colOff>
      <xdr:row>3</xdr:row>
      <xdr:rowOff>144780</xdr:rowOff>
    </xdr:to>
    <xdr:sp macro="" textlink="">
      <xdr:nvSpPr>
        <xdr:cNvPr id="3" name="TextBox 2">
          <a:extLst>
            <a:ext uri="{FF2B5EF4-FFF2-40B4-BE49-F238E27FC236}">
              <a16:creationId xmlns:a16="http://schemas.microsoft.com/office/drawing/2014/main" id="{FD242B2B-33CB-34DD-D0AC-786602A3F29A}"/>
            </a:ext>
          </a:extLst>
        </xdr:cNvPr>
        <xdr:cNvSpPr txBox="1"/>
      </xdr:nvSpPr>
      <xdr:spPr>
        <a:xfrm>
          <a:off x="114300" y="45720"/>
          <a:ext cx="477012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          SALES REVENUE REPORTS</a:t>
          </a:r>
        </a:p>
      </xdr:txBody>
    </xdr:sp>
    <xdr:clientData/>
  </xdr:twoCellAnchor>
  <xdr:twoCellAnchor>
    <xdr:from>
      <xdr:col>14</xdr:col>
      <xdr:colOff>449580</xdr:colOff>
      <xdr:row>11</xdr:row>
      <xdr:rowOff>160020</xdr:rowOff>
    </xdr:from>
    <xdr:to>
      <xdr:col>17</xdr:col>
      <xdr:colOff>579120</xdr:colOff>
      <xdr:row>26</xdr:row>
      <xdr:rowOff>144780</xdr:rowOff>
    </xdr:to>
    <xdr:sp macro="" textlink="">
      <xdr:nvSpPr>
        <xdr:cNvPr id="5" name="Rectangle: Rounded Corners 4">
          <a:extLst>
            <a:ext uri="{FF2B5EF4-FFF2-40B4-BE49-F238E27FC236}">
              <a16:creationId xmlns:a16="http://schemas.microsoft.com/office/drawing/2014/main" id="{7A716DE1-0EC8-05E0-0538-164A23BF1CD6}"/>
            </a:ext>
          </a:extLst>
        </xdr:cNvPr>
        <xdr:cNvSpPr/>
      </xdr:nvSpPr>
      <xdr:spPr>
        <a:xfrm>
          <a:off x="8983980" y="2171700"/>
          <a:ext cx="1958340" cy="272796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0</xdr:row>
      <xdr:rowOff>53340</xdr:rowOff>
    </xdr:from>
    <xdr:to>
      <xdr:col>12</xdr:col>
      <xdr:colOff>472440</xdr:colOff>
      <xdr:row>4</xdr:row>
      <xdr:rowOff>0</xdr:rowOff>
    </xdr:to>
    <xdr:sp macro="" textlink="">
      <xdr:nvSpPr>
        <xdr:cNvPr id="11" name="Rectangle: Rounded Corners 10">
          <a:extLst>
            <a:ext uri="{FF2B5EF4-FFF2-40B4-BE49-F238E27FC236}">
              <a16:creationId xmlns:a16="http://schemas.microsoft.com/office/drawing/2014/main" id="{4FB07BDA-256D-00FC-594E-7462BBEDF607}"/>
            </a:ext>
          </a:extLst>
        </xdr:cNvPr>
        <xdr:cNvSpPr/>
      </xdr:nvSpPr>
      <xdr:spPr>
        <a:xfrm>
          <a:off x="4953000" y="53340"/>
          <a:ext cx="2834640" cy="67818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4</xdr:row>
      <xdr:rowOff>60960</xdr:rowOff>
    </xdr:from>
    <xdr:to>
      <xdr:col>10</xdr:col>
      <xdr:colOff>541020</xdr:colOff>
      <xdr:row>11</xdr:row>
      <xdr:rowOff>106680</xdr:rowOff>
    </xdr:to>
    <xdr:sp macro="" textlink="">
      <xdr:nvSpPr>
        <xdr:cNvPr id="12" name="Rectangle: Rounded Corners 11">
          <a:extLst>
            <a:ext uri="{FF2B5EF4-FFF2-40B4-BE49-F238E27FC236}">
              <a16:creationId xmlns:a16="http://schemas.microsoft.com/office/drawing/2014/main" id="{06F10CDD-00CA-97F8-1FD8-CB5365AC0A35}"/>
            </a:ext>
          </a:extLst>
        </xdr:cNvPr>
        <xdr:cNvSpPr/>
      </xdr:nvSpPr>
      <xdr:spPr>
        <a:xfrm>
          <a:off x="4953000" y="792480"/>
          <a:ext cx="1684020" cy="132588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175260</xdr:colOff>
      <xdr:row>0</xdr:row>
      <xdr:rowOff>114300</xdr:rowOff>
    </xdr:from>
    <xdr:to>
      <xdr:col>17</xdr:col>
      <xdr:colOff>556260</xdr:colOff>
      <xdr:row>11</xdr:row>
      <xdr:rowOff>15240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D70020A5-9C25-441C-A694-D4B1F4EB2C8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928860" y="114300"/>
              <a:ext cx="99060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586740</xdr:colOff>
      <xdr:row>1</xdr:row>
      <xdr:rowOff>7620</xdr:rowOff>
    </xdr:from>
    <xdr:to>
      <xdr:col>15</xdr:col>
      <xdr:colOff>586740</xdr:colOff>
      <xdr:row>3</xdr:row>
      <xdr:rowOff>45720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DEB8181E-566D-4734-B010-4C236F7CB2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01940" y="190500"/>
              <a:ext cx="1828800" cy="40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0</xdr:row>
      <xdr:rowOff>175261</xdr:rowOff>
    </xdr:from>
    <xdr:to>
      <xdr:col>12</xdr:col>
      <xdr:colOff>388620</xdr:colOff>
      <xdr:row>3</xdr:row>
      <xdr:rowOff>30481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A1D9082-6B6D-43F0-B03F-D34089146D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29200" y="175261"/>
              <a:ext cx="2674620" cy="40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4</xdr:row>
      <xdr:rowOff>160019</xdr:rowOff>
    </xdr:from>
    <xdr:to>
      <xdr:col>10</xdr:col>
      <xdr:colOff>419160</xdr:colOff>
      <xdr:row>10</xdr:row>
      <xdr:rowOff>175260</xdr:rowOff>
    </xdr:to>
    <mc:AlternateContent xmlns:mc="http://schemas.openxmlformats.org/markup-compatibility/2006" xmlns:a14="http://schemas.microsoft.com/office/drawing/2010/main">
      <mc:Choice Requires="a14">
        <xdr:graphicFrame macro="">
          <xdr:nvGraphicFramePr>
            <xdr:cNvPr id="9" name="OrderStatus">
              <a:extLst>
                <a:ext uri="{FF2B5EF4-FFF2-40B4-BE49-F238E27FC236}">
                  <a16:creationId xmlns:a16="http://schemas.microsoft.com/office/drawing/2014/main" id="{B864AD0B-BFB2-423F-9D34-FE798B583159}"/>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5090160" y="891539"/>
              <a:ext cx="1425000" cy="1112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4</xdr:row>
      <xdr:rowOff>121920</xdr:rowOff>
    </xdr:from>
    <xdr:to>
      <xdr:col>15</xdr:col>
      <xdr:colOff>556260</xdr:colOff>
      <xdr:row>11</xdr:row>
      <xdr:rowOff>30480</xdr:rowOff>
    </xdr:to>
    <mc:AlternateContent xmlns:mc="http://schemas.openxmlformats.org/markup-compatibility/2006" xmlns:tsle="http://schemas.microsoft.com/office/drawing/2012/timeslicer">
      <mc:Choice Requires="tsle">
        <xdr:graphicFrame macro="">
          <xdr:nvGraphicFramePr>
            <xdr:cNvPr id="10" name="OrderDate">
              <a:extLst>
                <a:ext uri="{FF2B5EF4-FFF2-40B4-BE49-F238E27FC236}">
                  <a16:creationId xmlns:a16="http://schemas.microsoft.com/office/drawing/2014/main" id="{B2D13799-3A47-463D-A07C-B42043600A3B}"/>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6774180" y="853440"/>
              <a:ext cx="2926080" cy="11887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464820</xdr:colOff>
      <xdr:row>11</xdr:row>
      <xdr:rowOff>167640</xdr:rowOff>
    </xdr:from>
    <xdr:to>
      <xdr:col>17</xdr:col>
      <xdr:colOff>525780</xdr:colOff>
      <xdr:row>26</xdr:row>
      <xdr:rowOff>121920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77202385-0741-41DA-9E15-A8CBC6E764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99220" y="2179320"/>
              <a:ext cx="1889760" cy="2697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579120</xdr:colOff>
      <xdr:row>11</xdr:row>
      <xdr:rowOff>152400</xdr:rowOff>
    </xdr:from>
    <xdr:to>
      <xdr:col>14</xdr:col>
      <xdr:colOff>396240</xdr:colOff>
      <xdr:row>19</xdr:row>
      <xdr:rowOff>53340</xdr:rowOff>
    </xdr:to>
    <xdr:grpSp>
      <xdr:nvGrpSpPr>
        <xdr:cNvPr id="32" name="Group 31">
          <a:extLst>
            <a:ext uri="{FF2B5EF4-FFF2-40B4-BE49-F238E27FC236}">
              <a16:creationId xmlns:a16="http://schemas.microsoft.com/office/drawing/2014/main" id="{6DD21C73-41FC-19BE-0FAD-2A39EC8318D7}"/>
            </a:ext>
          </a:extLst>
        </xdr:cNvPr>
        <xdr:cNvGrpSpPr/>
      </xdr:nvGrpSpPr>
      <xdr:grpSpPr>
        <a:xfrm>
          <a:off x="6675120" y="2164080"/>
          <a:ext cx="2255520" cy="1363980"/>
          <a:chOff x="6294120" y="2164080"/>
          <a:chExt cx="2636520" cy="1363980"/>
        </a:xfrm>
      </xdr:grpSpPr>
      <xdr:sp macro="" textlink="">
        <xdr:nvSpPr>
          <xdr:cNvPr id="26" name="Rectangle: Rounded Corners 25">
            <a:extLst>
              <a:ext uri="{FF2B5EF4-FFF2-40B4-BE49-F238E27FC236}">
                <a16:creationId xmlns:a16="http://schemas.microsoft.com/office/drawing/2014/main" id="{8648C1C6-DA8C-DE9C-625F-2FA2A1E0CBB3}"/>
              </a:ext>
            </a:extLst>
          </xdr:cNvPr>
          <xdr:cNvSpPr/>
        </xdr:nvSpPr>
        <xdr:spPr>
          <a:xfrm>
            <a:off x="6294120" y="2164080"/>
            <a:ext cx="2636520" cy="135636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5960605D-FD2F-49D3-9BA6-A9AC950B62DA}"/>
              </a:ext>
            </a:extLst>
          </xdr:cNvPr>
          <xdr:cNvGraphicFramePr>
            <a:graphicFrameLocks/>
          </xdr:cNvGraphicFramePr>
        </xdr:nvGraphicFramePr>
        <xdr:xfrm>
          <a:off x="6385560" y="2171700"/>
          <a:ext cx="2522220" cy="13563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60960</xdr:colOff>
      <xdr:row>12</xdr:row>
      <xdr:rowOff>30480</xdr:rowOff>
    </xdr:from>
    <xdr:to>
      <xdr:col>10</xdr:col>
      <xdr:colOff>441960</xdr:colOff>
      <xdr:row>26</xdr:row>
      <xdr:rowOff>76200</xdr:rowOff>
    </xdr:to>
    <xdr:graphicFrame macro="">
      <xdr:nvGraphicFramePr>
        <xdr:cNvPr id="21" name="Chart 20">
          <a:extLst>
            <a:ext uri="{FF2B5EF4-FFF2-40B4-BE49-F238E27FC236}">
              <a16:creationId xmlns:a16="http://schemas.microsoft.com/office/drawing/2014/main" id="{3399A604-52B7-4C9D-8C91-710D31D88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45720</xdr:colOff>
      <xdr:row>19</xdr:row>
      <xdr:rowOff>144780</xdr:rowOff>
    </xdr:from>
    <xdr:to>
      <xdr:col>14</xdr:col>
      <xdr:colOff>342900</xdr:colOff>
      <xdr:row>26</xdr:row>
      <xdr:rowOff>129540</xdr:rowOff>
    </xdr:to>
    <xdr:graphicFrame macro="">
      <xdr:nvGraphicFramePr>
        <xdr:cNvPr id="24" name="Chart 23">
          <a:extLst>
            <a:ext uri="{FF2B5EF4-FFF2-40B4-BE49-F238E27FC236}">
              <a16:creationId xmlns:a16="http://schemas.microsoft.com/office/drawing/2014/main" id="{8062BDD5-AE72-4976-A693-B50BE804C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83820</xdr:colOff>
      <xdr:row>15</xdr:row>
      <xdr:rowOff>106680</xdr:rowOff>
    </xdr:from>
    <xdr:to>
      <xdr:col>3</xdr:col>
      <xdr:colOff>525780</xdr:colOff>
      <xdr:row>26</xdr:row>
      <xdr:rowOff>68580</xdr:rowOff>
    </xdr:to>
    <xdr:graphicFrame macro="">
      <xdr:nvGraphicFramePr>
        <xdr:cNvPr id="25" name="Chart 24">
          <a:extLst>
            <a:ext uri="{FF2B5EF4-FFF2-40B4-BE49-F238E27FC236}">
              <a16:creationId xmlns:a16="http://schemas.microsoft.com/office/drawing/2014/main" id="{8926A47D-DC78-4FDD-97D1-9B6F2C078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4</xdr:row>
      <xdr:rowOff>22860</xdr:rowOff>
    </xdr:from>
    <xdr:to>
      <xdr:col>2</xdr:col>
      <xdr:colOff>403860</xdr:colOff>
      <xdr:row>9</xdr:row>
      <xdr:rowOff>76200</xdr:rowOff>
    </xdr:to>
    <xdr:sp macro="" textlink="">
      <xdr:nvSpPr>
        <xdr:cNvPr id="4" name="Rectangle: Rounded Corners 3">
          <a:extLst>
            <a:ext uri="{FF2B5EF4-FFF2-40B4-BE49-F238E27FC236}">
              <a16:creationId xmlns:a16="http://schemas.microsoft.com/office/drawing/2014/main" id="{5C5B8BF3-449F-02D1-05DC-C8A458D2F392}"/>
            </a:ext>
          </a:extLst>
        </xdr:cNvPr>
        <xdr:cNvSpPr/>
      </xdr:nvSpPr>
      <xdr:spPr>
        <a:xfrm>
          <a:off x="30480" y="754380"/>
          <a:ext cx="1592580" cy="96774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449580</xdr:colOff>
      <xdr:row>4</xdr:row>
      <xdr:rowOff>22860</xdr:rowOff>
    </xdr:from>
    <xdr:to>
      <xdr:col>5</xdr:col>
      <xdr:colOff>213360</xdr:colOff>
      <xdr:row>9</xdr:row>
      <xdr:rowOff>76200</xdr:rowOff>
    </xdr:to>
    <xdr:sp macro="" textlink="">
      <xdr:nvSpPr>
        <xdr:cNvPr id="22" name="Rectangle: Rounded Corners 21">
          <a:extLst>
            <a:ext uri="{FF2B5EF4-FFF2-40B4-BE49-F238E27FC236}">
              <a16:creationId xmlns:a16="http://schemas.microsoft.com/office/drawing/2014/main" id="{1F32F5A9-F60E-AC61-C914-DFEE8760EAF7}"/>
            </a:ext>
          </a:extLst>
        </xdr:cNvPr>
        <xdr:cNvSpPr/>
      </xdr:nvSpPr>
      <xdr:spPr>
        <a:xfrm>
          <a:off x="1668780" y="754380"/>
          <a:ext cx="1592580" cy="96774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259080</xdr:colOff>
      <xdr:row>4</xdr:row>
      <xdr:rowOff>22860</xdr:rowOff>
    </xdr:from>
    <xdr:to>
      <xdr:col>8</xdr:col>
      <xdr:colOff>22860</xdr:colOff>
      <xdr:row>9</xdr:row>
      <xdr:rowOff>76200</xdr:rowOff>
    </xdr:to>
    <xdr:sp macro="" textlink="">
      <xdr:nvSpPr>
        <xdr:cNvPr id="23" name="Rectangle: Rounded Corners 22">
          <a:extLst>
            <a:ext uri="{FF2B5EF4-FFF2-40B4-BE49-F238E27FC236}">
              <a16:creationId xmlns:a16="http://schemas.microsoft.com/office/drawing/2014/main" id="{D0650C5D-EDBB-6B91-ACE4-376229CFA00B}"/>
            </a:ext>
          </a:extLst>
        </xdr:cNvPr>
        <xdr:cNvSpPr/>
      </xdr:nvSpPr>
      <xdr:spPr>
        <a:xfrm>
          <a:off x="3307080" y="754380"/>
          <a:ext cx="1592580" cy="96774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4</xdr:row>
      <xdr:rowOff>53340</xdr:rowOff>
    </xdr:from>
    <xdr:to>
      <xdr:col>2</xdr:col>
      <xdr:colOff>381000</xdr:colOff>
      <xdr:row>5</xdr:row>
      <xdr:rowOff>175260</xdr:rowOff>
    </xdr:to>
    <xdr:sp macro="" textlink="">
      <xdr:nvSpPr>
        <xdr:cNvPr id="46" name="TextBox 45">
          <a:extLst>
            <a:ext uri="{FF2B5EF4-FFF2-40B4-BE49-F238E27FC236}">
              <a16:creationId xmlns:a16="http://schemas.microsoft.com/office/drawing/2014/main" id="{850F2C6E-7ED8-5D38-8464-5EE7AABB111B}"/>
            </a:ext>
          </a:extLst>
        </xdr:cNvPr>
        <xdr:cNvSpPr txBox="1"/>
      </xdr:nvSpPr>
      <xdr:spPr>
        <a:xfrm>
          <a:off x="45720" y="784860"/>
          <a:ext cx="1554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 Customers</a:t>
          </a:r>
        </a:p>
      </xdr:txBody>
    </xdr:sp>
    <xdr:clientData/>
  </xdr:twoCellAnchor>
  <xdr:twoCellAnchor>
    <xdr:from>
      <xdr:col>0</xdr:col>
      <xdr:colOff>160020</xdr:colOff>
      <xdr:row>6</xdr:row>
      <xdr:rowOff>38100</xdr:rowOff>
    </xdr:from>
    <xdr:to>
      <xdr:col>2</xdr:col>
      <xdr:colOff>365760</xdr:colOff>
      <xdr:row>7</xdr:row>
      <xdr:rowOff>160020</xdr:rowOff>
    </xdr:to>
    <xdr:sp macro="" textlink="reports!E2">
      <xdr:nvSpPr>
        <xdr:cNvPr id="47" name="TextBox 46">
          <a:extLst>
            <a:ext uri="{FF2B5EF4-FFF2-40B4-BE49-F238E27FC236}">
              <a16:creationId xmlns:a16="http://schemas.microsoft.com/office/drawing/2014/main" id="{BAFFB7BC-E845-9E72-32F5-B3C289987FB1}"/>
            </a:ext>
          </a:extLst>
        </xdr:cNvPr>
        <xdr:cNvSpPr txBox="1"/>
      </xdr:nvSpPr>
      <xdr:spPr>
        <a:xfrm>
          <a:off x="160020" y="1135380"/>
          <a:ext cx="14249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i="0" u="none" strike="noStrike">
              <a:solidFill>
                <a:schemeClr val="bg1"/>
              </a:solidFill>
              <a:latin typeface="Calibri"/>
              <a:ea typeface="Calibri"/>
              <a:cs typeface="Calibri"/>
            </a:rPr>
            <a:t>   </a:t>
          </a:r>
          <a:fld id="{FC2835D6-9218-46E8-91DA-1FAC97CAA8CC}" type="TxLink">
            <a:rPr lang="en-US" sz="1800" b="1" i="0" u="none" strike="noStrike">
              <a:solidFill>
                <a:schemeClr val="bg1"/>
              </a:solidFill>
              <a:latin typeface="Calibri"/>
              <a:ea typeface="Calibri"/>
              <a:cs typeface="Calibri"/>
            </a:rPr>
            <a:pPr algn="l"/>
            <a:t>579</a:t>
          </a:fld>
          <a:endParaRPr lang="en-IN" sz="1800" b="1">
            <a:solidFill>
              <a:schemeClr val="bg1"/>
            </a:solidFill>
          </a:endParaRPr>
        </a:p>
      </xdr:txBody>
    </xdr:sp>
    <xdr:clientData/>
  </xdr:twoCellAnchor>
  <xdr:twoCellAnchor>
    <xdr:from>
      <xdr:col>2</xdr:col>
      <xdr:colOff>464820</xdr:colOff>
      <xdr:row>4</xdr:row>
      <xdr:rowOff>53340</xdr:rowOff>
    </xdr:from>
    <xdr:to>
      <xdr:col>5</xdr:col>
      <xdr:colOff>190500</xdr:colOff>
      <xdr:row>5</xdr:row>
      <xdr:rowOff>175260</xdr:rowOff>
    </xdr:to>
    <xdr:sp macro="" textlink="">
      <xdr:nvSpPr>
        <xdr:cNvPr id="48" name="TextBox 47">
          <a:extLst>
            <a:ext uri="{FF2B5EF4-FFF2-40B4-BE49-F238E27FC236}">
              <a16:creationId xmlns:a16="http://schemas.microsoft.com/office/drawing/2014/main" id="{4E035C41-D555-89C5-B227-D5B81536CBF2}"/>
            </a:ext>
          </a:extLst>
        </xdr:cNvPr>
        <xdr:cNvSpPr txBox="1"/>
      </xdr:nvSpPr>
      <xdr:spPr>
        <a:xfrm>
          <a:off x="1684020" y="784860"/>
          <a:ext cx="1554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 Orders</a:t>
          </a:r>
        </a:p>
      </xdr:txBody>
    </xdr:sp>
    <xdr:clientData/>
  </xdr:twoCellAnchor>
  <xdr:twoCellAnchor>
    <xdr:from>
      <xdr:col>5</xdr:col>
      <xdr:colOff>274320</xdr:colOff>
      <xdr:row>4</xdr:row>
      <xdr:rowOff>53340</xdr:rowOff>
    </xdr:from>
    <xdr:to>
      <xdr:col>8</xdr:col>
      <xdr:colOff>0</xdr:colOff>
      <xdr:row>5</xdr:row>
      <xdr:rowOff>175260</xdr:rowOff>
    </xdr:to>
    <xdr:sp macro="" textlink="">
      <xdr:nvSpPr>
        <xdr:cNvPr id="49" name="TextBox 48">
          <a:extLst>
            <a:ext uri="{FF2B5EF4-FFF2-40B4-BE49-F238E27FC236}">
              <a16:creationId xmlns:a16="http://schemas.microsoft.com/office/drawing/2014/main" id="{8A10322E-5E10-06B5-8B52-152BB5DF7D8B}"/>
            </a:ext>
          </a:extLst>
        </xdr:cNvPr>
        <xdr:cNvSpPr txBox="1"/>
      </xdr:nvSpPr>
      <xdr:spPr>
        <a:xfrm>
          <a:off x="3322320" y="784860"/>
          <a:ext cx="1554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 Revenue</a:t>
          </a:r>
        </a:p>
      </xdr:txBody>
    </xdr:sp>
    <xdr:clientData/>
  </xdr:twoCellAnchor>
  <xdr:twoCellAnchor>
    <xdr:from>
      <xdr:col>2</xdr:col>
      <xdr:colOff>594360</xdr:colOff>
      <xdr:row>6</xdr:row>
      <xdr:rowOff>106680</xdr:rowOff>
    </xdr:from>
    <xdr:to>
      <xdr:col>5</xdr:col>
      <xdr:colOff>190500</xdr:colOff>
      <xdr:row>8</xdr:row>
      <xdr:rowOff>45720</xdr:rowOff>
    </xdr:to>
    <xdr:sp macro="" textlink="reports!C2">
      <xdr:nvSpPr>
        <xdr:cNvPr id="50" name="TextBox 49">
          <a:extLst>
            <a:ext uri="{FF2B5EF4-FFF2-40B4-BE49-F238E27FC236}">
              <a16:creationId xmlns:a16="http://schemas.microsoft.com/office/drawing/2014/main" id="{C304037A-B3B6-EE14-93FA-DBFE5E5C21AD}"/>
            </a:ext>
          </a:extLst>
        </xdr:cNvPr>
        <xdr:cNvSpPr txBox="1"/>
      </xdr:nvSpPr>
      <xdr:spPr>
        <a:xfrm>
          <a:off x="1813560" y="1203960"/>
          <a:ext cx="14249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i="0" u="none" strike="noStrike">
              <a:solidFill>
                <a:schemeClr val="bg1"/>
              </a:solidFill>
              <a:latin typeface="Calibri"/>
              <a:ea typeface="Calibri"/>
              <a:cs typeface="Calibri"/>
            </a:rPr>
            <a:t>   </a:t>
          </a:r>
          <a:fld id="{26E51310-96A9-42F9-A77A-844FD02AC6B2}" type="TxLink">
            <a:rPr lang="en-US" sz="1800" b="1" i="0" u="none" strike="noStrike">
              <a:solidFill>
                <a:schemeClr val="bg1"/>
              </a:solidFill>
              <a:latin typeface="Calibri"/>
              <a:ea typeface="Calibri"/>
              <a:cs typeface="Calibri"/>
            </a:rPr>
            <a:pPr marL="0" indent="0" algn="l"/>
            <a:t>1903</a:t>
          </a:fld>
          <a:endParaRPr lang="en-IN" sz="1800" b="1" i="0" u="none" strike="noStrike">
            <a:solidFill>
              <a:schemeClr val="bg1"/>
            </a:solidFill>
            <a:latin typeface="Calibri"/>
            <a:ea typeface="Calibri"/>
            <a:cs typeface="Calibri"/>
          </a:endParaRPr>
        </a:p>
      </xdr:txBody>
    </xdr:sp>
    <xdr:clientData/>
  </xdr:twoCellAnchor>
  <xdr:twoCellAnchor>
    <xdr:from>
      <xdr:col>5</xdr:col>
      <xdr:colOff>274320</xdr:colOff>
      <xdr:row>6</xdr:row>
      <xdr:rowOff>83820</xdr:rowOff>
    </xdr:from>
    <xdr:to>
      <xdr:col>8</xdr:col>
      <xdr:colOff>0</xdr:colOff>
      <xdr:row>8</xdr:row>
      <xdr:rowOff>22860</xdr:rowOff>
    </xdr:to>
    <xdr:sp macro="" textlink="reports!A2">
      <xdr:nvSpPr>
        <xdr:cNvPr id="51" name="TextBox 50">
          <a:extLst>
            <a:ext uri="{FF2B5EF4-FFF2-40B4-BE49-F238E27FC236}">
              <a16:creationId xmlns:a16="http://schemas.microsoft.com/office/drawing/2014/main" id="{0A980E10-B83A-9768-82D2-03376B71ED88}"/>
            </a:ext>
          </a:extLst>
        </xdr:cNvPr>
        <xdr:cNvSpPr txBox="1"/>
      </xdr:nvSpPr>
      <xdr:spPr>
        <a:xfrm>
          <a:off x="3322320" y="1181100"/>
          <a:ext cx="1554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i="0" u="none" strike="noStrike">
              <a:solidFill>
                <a:schemeClr val="bg1"/>
              </a:solidFill>
              <a:latin typeface="Calibri"/>
              <a:ea typeface="Calibri"/>
              <a:cs typeface="Calibri"/>
            </a:rPr>
            <a:t> </a:t>
          </a:r>
          <a:fld id="{5DAD8FAE-AEE3-4CC6-B4A4-6A94A924808E}" type="TxLink">
            <a:rPr lang="en-US" sz="1800" b="1" i="0" u="none" strike="noStrike">
              <a:solidFill>
                <a:schemeClr val="bg1"/>
              </a:solidFill>
              <a:latin typeface="Calibri"/>
              <a:ea typeface="Calibri"/>
              <a:cs typeface="Calibri"/>
            </a:rPr>
            <a:pPr marL="0" indent="0" algn="l"/>
            <a:t>71773200</a:t>
          </a:fld>
          <a:endParaRPr lang="en-IN" sz="1800" b="1" i="0" u="none" strike="noStrike">
            <a:solidFill>
              <a:schemeClr val="bg1"/>
            </a:solidFill>
            <a:latin typeface="Calibri"/>
            <a:ea typeface="Calibri"/>
            <a:cs typeface="Calibri"/>
          </a:endParaRPr>
        </a:p>
      </xdr:txBody>
    </xdr:sp>
    <xdr:clientData/>
  </xdr:twoCellAnchor>
  <xdr:twoCellAnchor>
    <xdr:from>
      <xdr:col>0</xdr:col>
      <xdr:colOff>30480</xdr:colOff>
      <xdr:row>9</xdr:row>
      <xdr:rowOff>106680</xdr:rowOff>
    </xdr:from>
    <xdr:to>
      <xdr:col>2</xdr:col>
      <xdr:colOff>403860</xdr:colOff>
      <xdr:row>14</xdr:row>
      <xdr:rowOff>160020</xdr:rowOff>
    </xdr:to>
    <xdr:sp macro="" textlink="">
      <xdr:nvSpPr>
        <xdr:cNvPr id="56" name="Rectangle: Rounded Corners 55">
          <a:extLst>
            <a:ext uri="{FF2B5EF4-FFF2-40B4-BE49-F238E27FC236}">
              <a16:creationId xmlns:a16="http://schemas.microsoft.com/office/drawing/2014/main" id="{BD91FFE3-B1A1-3F0F-064D-DDC547916F05}"/>
            </a:ext>
          </a:extLst>
        </xdr:cNvPr>
        <xdr:cNvSpPr/>
      </xdr:nvSpPr>
      <xdr:spPr>
        <a:xfrm>
          <a:off x="30480" y="1752600"/>
          <a:ext cx="1592580" cy="96774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449580</xdr:colOff>
      <xdr:row>9</xdr:row>
      <xdr:rowOff>106680</xdr:rowOff>
    </xdr:from>
    <xdr:to>
      <xdr:col>5</xdr:col>
      <xdr:colOff>213360</xdr:colOff>
      <xdr:row>14</xdr:row>
      <xdr:rowOff>160020</xdr:rowOff>
    </xdr:to>
    <xdr:sp macro="" textlink="">
      <xdr:nvSpPr>
        <xdr:cNvPr id="57" name="Rectangle: Rounded Corners 56">
          <a:extLst>
            <a:ext uri="{FF2B5EF4-FFF2-40B4-BE49-F238E27FC236}">
              <a16:creationId xmlns:a16="http://schemas.microsoft.com/office/drawing/2014/main" id="{8CDA04C1-0B17-53F8-0AE9-D59B03461E2F}"/>
            </a:ext>
          </a:extLst>
        </xdr:cNvPr>
        <xdr:cNvSpPr/>
      </xdr:nvSpPr>
      <xdr:spPr>
        <a:xfrm>
          <a:off x="1668780" y="1752600"/>
          <a:ext cx="1592580" cy="96774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259080</xdr:colOff>
      <xdr:row>9</xdr:row>
      <xdr:rowOff>106680</xdr:rowOff>
    </xdr:from>
    <xdr:to>
      <xdr:col>8</xdr:col>
      <xdr:colOff>22860</xdr:colOff>
      <xdr:row>14</xdr:row>
      <xdr:rowOff>160020</xdr:rowOff>
    </xdr:to>
    <xdr:sp macro="" textlink="">
      <xdr:nvSpPr>
        <xdr:cNvPr id="58" name="Rectangle: Rounded Corners 57">
          <a:extLst>
            <a:ext uri="{FF2B5EF4-FFF2-40B4-BE49-F238E27FC236}">
              <a16:creationId xmlns:a16="http://schemas.microsoft.com/office/drawing/2014/main" id="{474D5983-F101-A941-1692-2809432054BC}"/>
            </a:ext>
          </a:extLst>
        </xdr:cNvPr>
        <xdr:cNvSpPr/>
      </xdr:nvSpPr>
      <xdr:spPr>
        <a:xfrm>
          <a:off x="3307080" y="1752600"/>
          <a:ext cx="1592580" cy="967740"/>
        </a:xfrm>
        <a:prstGeom prst="roundRect">
          <a:avLst>
            <a:gd name="adj" fmla="val 779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9</xdr:row>
      <xdr:rowOff>152400</xdr:rowOff>
    </xdr:from>
    <xdr:to>
      <xdr:col>2</xdr:col>
      <xdr:colOff>381000</xdr:colOff>
      <xdr:row>11</xdr:row>
      <xdr:rowOff>91440</xdr:rowOff>
    </xdr:to>
    <xdr:sp macro="" textlink="">
      <xdr:nvSpPr>
        <xdr:cNvPr id="59" name="TextBox 58">
          <a:extLst>
            <a:ext uri="{FF2B5EF4-FFF2-40B4-BE49-F238E27FC236}">
              <a16:creationId xmlns:a16="http://schemas.microsoft.com/office/drawing/2014/main" id="{85D956A8-3DDD-A46B-6397-ED5C4C7B2C69}"/>
            </a:ext>
          </a:extLst>
        </xdr:cNvPr>
        <xdr:cNvSpPr txBox="1"/>
      </xdr:nvSpPr>
      <xdr:spPr>
        <a:xfrm>
          <a:off x="45720" y="1798320"/>
          <a:ext cx="1554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AOV</a:t>
          </a:r>
        </a:p>
      </xdr:txBody>
    </xdr:sp>
    <xdr:clientData/>
  </xdr:twoCellAnchor>
  <xdr:twoCellAnchor>
    <xdr:from>
      <xdr:col>2</xdr:col>
      <xdr:colOff>464820</xdr:colOff>
      <xdr:row>9</xdr:row>
      <xdr:rowOff>152400</xdr:rowOff>
    </xdr:from>
    <xdr:to>
      <xdr:col>5</xdr:col>
      <xdr:colOff>190500</xdr:colOff>
      <xdr:row>11</xdr:row>
      <xdr:rowOff>91440</xdr:rowOff>
    </xdr:to>
    <xdr:sp macro="" textlink="">
      <xdr:nvSpPr>
        <xdr:cNvPr id="60" name="TextBox 59">
          <a:extLst>
            <a:ext uri="{FF2B5EF4-FFF2-40B4-BE49-F238E27FC236}">
              <a16:creationId xmlns:a16="http://schemas.microsoft.com/office/drawing/2014/main" id="{D6FF3B46-DE11-DBC2-AF0C-986CB37E7979}"/>
            </a:ext>
          </a:extLst>
        </xdr:cNvPr>
        <xdr:cNvSpPr txBox="1"/>
      </xdr:nvSpPr>
      <xdr:spPr>
        <a:xfrm>
          <a:off x="1684020" y="1798320"/>
          <a:ext cx="1554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Cancellation Rate</a:t>
          </a:r>
        </a:p>
      </xdr:txBody>
    </xdr:sp>
    <xdr:clientData/>
  </xdr:twoCellAnchor>
  <xdr:twoCellAnchor>
    <xdr:from>
      <xdr:col>5</xdr:col>
      <xdr:colOff>274320</xdr:colOff>
      <xdr:row>9</xdr:row>
      <xdr:rowOff>152400</xdr:rowOff>
    </xdr:from>
    <xdr:to>
      <xdr:col>8</xdr:col>
      <xdr:colOff>0</xdr:colOff>
      <xdr:row>11</xdr:row>
      <xdr:rowOff>91440</xdr:rowOff>
    </xdr:to>
    <xdr:sp macro="" textlink="">
      <xdr:nvSpPr>
        <xdr:cNvPr id="61" name="TextBox 60">
          <a:extLst>
            <a:ext uri="{FF2B5EF4-FFF2-40B4-BE49-F238E27FC236}">
              <a16:creationId xmlns:a16="http://schemas.microsoft.com/office/drawing/2014/main" id="{2E9A2DB5-3674-6CDE-9103-1010306E6454}"/>
            </a:ext>
          </a:extLst>
        </xdr:cNvPr>
        <xdr:cNvSpPr txBox="1"/>
      </xdr:nvSpPr>
      <xdr:spPr>
        <a:xfrm>
          <a:off x="3322320" y="1798320"/>
          <a:ext cx="1554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Return Rate</a:t>
          </a:r>
        </a:p>
      </xdr:txBody>
    </xdr:sp>
    <xdr:clientData/>
  </xdr:twoCellAnchor>
  <xdr:twoCellAnchor>
    <xdr:from>
      <xdr:col>0</xdr:col>
      <xdr:colOff>83820</xdr:colOff>
      <xdr:row>11</xdr:row>
      <xdr:rowOff>144780</xdr:rowOff>
    </xdr:from>
    <xdr:to>
      <xdr:col>2</xdr:col>
      <xdr:colOff>381000</xdr:colOff>
      <xdr:row>13</xdr:row>
      <xdr:rowOff>83820</xdr:rowOff>
    </xdr:to>
    <xdr:sp macro="" textlink="reports!G2">
      <xdr:nvSpPr>
        <xdr:cNvPr id="62" name="TextBox 61">
          <a:extLst>
            <a:ext uri="{FF2B5EF4-FFF2-40B4-BE49-F238E27FC236}">
              <a16:creationId xmlns:a16="http://schemas.microsoft.com/office/drawing/2014/main" id="{0E6CCAC7-0759-CB31-B85C-B20C3558414D}"/>
            </a:ext>
          </a:extLst>
        </xdr:cNvPr>
        <xdr:cNvSpPr txBox="1"/>
      </xdr:nvSpPr>
      <xdr:spPr>
        <a:xfrm>
          <a:off x="83820" y="2156460"/>
          <a:ext cx="1516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i="0" u="none" strike="noStrike">
              <a:solidFill>
                <a:schemeClr val="bg1"/>
              </a:solidFill>
              <a:latin typeface="Calibri"/>
              <a:ea typeface="Calibri"/>
              <a:cs typeface="Calibri"/>
            </a:rPr>
            <a:t>   </a:t>
          </a:r>
          <a:fld id="{8CA56175-2A23-4718-811A-7AE322BD083B}" type="TxLink">
            <a:rPr lang="en-US" sz="1800" b="1" i="0" u="none" strike="noStrike">
              <a:solidFill>
                <a:schemeClr val="bg1"/>
              </a:solidFill>
              <a:latin typeface="Calibri"/>
              <a:ea typeface="Calibri"/>
              <a:cs typeface="Calibri"/>
            </a:rPr>
            <a:pPr marL="0" indent="0" algn="l"/>
            <a:t>37716</a:t>
          </a:fld>
          <a:endParaRPr lang="en-IN" sz="1800" b="1" i="0" u="none" strike="noStrike">
            <a:solidFill>
              <a:schemeClr val="bg1"/>
            </a:solidFill>
            <a:latin typeface="Calibri"/>
            <a:ea typeface="Calibri"/>
            <a:cs typeface="Calibri"/>
          </a:endParaRPr>
        </a:p>
      </xdr:txBody>
    </xdr:sp>
    <xdr:clientData/>
  </xdr:twoCellAnchor>
  <xdr:twoCellAnchor>
    <xdr:from>
      <xdr:col>2</xdr:col>
      <xdr:colOff>533400</xdr:colOff>
      <xdr:row>12</xdr:row>
      <xdr:rowOff>0</xdr:rowOff>
    </xdr:from>
    <xdr:to>
      <xdr:col>5</xdr:col>
      <xdr:colOff>190500</xdr:colOff>
      <xdr:row>13</xdr:row>
      <xdr:rowOff>121920</xdr:rowOff>
    </xdr:to>
    <xdr:sp macro="" textlink="reports!I2">
      <xdr:nvSpPr>
        <xdr:cNvPr id="63" name="TextBox 62">
          <a:extLst>
            <a:ext uri="{FF2B5EF4-FFF2-40B4-BE49-F238E27FC236}">
              <a16:creationId xmlns:a16="http://schemas.microsoft.com/office/drawing/2014/main" id="{A7380CF2-FB0A-6FAF-931B-408616F4351C}"/>
            </a:ext>
          </a:extLst>
        </xdr:cNvPr>
        <xdr:cNvSpPr txBox="1"/>
      </xdr:nvSpPr>
      <xdr:spPr>
        <a:xfrm>
          <a:off x="1752600" y="2194560"/>
          <a:ext cx="1485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i="0" u="none" strike="noStrike">
              <a:solidFill>
                <a:schemeClr val="bg1"/>
              </a:solidFill>
              <a:latin typeface="Calibri"/>
              <a:ea typeface="Calibri"/>
              <a:cs typeface="Calibri"/>
            </a:rPr>
            <a:t>  </a:t>
          </a:r>
          <a:fld id="{71A2E2E6-B699-47E7-B4AD-55B982080106}" type="TxLink">
            <a:rPr lang="en-US" sz="1800" b="1" i="0" u="none" strike="noStrike">
              <a:solidFill>
                <a:schemeClr val="bg1"/>
              </a:solidFill>
              <a:latin typeface="Calibri"/>
              <a:ea typeface="Calibri"/>
              <a:cs typeface="Calibri"/>
            </a:rPr>
            <a:pPr marL="0" indent="0" algn="l"/>
            <a:t>16.03%</a:t>
          </a:fld>
          <a:endParaRPr lang="en-IN" sz="1800" b="1" i="0" u="none" strike="noStrike">
            <a:solidFill>
              <a:schemeClr val="bg1"/>
            </a:solidFill>
            <a:latin typeface="Calibri"/>
            <a:ea typeface="Calibri"/>
            <a:cs typeface="Calibri"/>
          </a:endParaRPr>
        </a:p>
      </xdr:txBody>
    </xdr:sp>
    <xdr:clientData/>
  </xdr:twoCellAnchor>
  <xdr:twoCellAnchor>
    <xdr:from>
      <xdr:col>5</xdr:col>
      <xdr:colOff>274320</xdr:colOff>
      <xdr:row>12</xdr:row>
      <xdr:rowOff>0</xdr:rowOff>
    </xdr:from>
    <xdr:to>
      <xdr:col>8</xdr:col>
      <xdr:colOff>0</xdr:colOff>
      <xdr:row>13</xdr:row>
      <xdr:rowOff>121920</xdr:rowOff>
    </xdr:to>
    <xdr:sp macro="" textlink="reports!K2">
      <xdr:nvSpPr>
        <xdr:cNvPr id="64" name="TextBox 63">
          <a:extLst>
            <a:ext uri="{FF2B5EF4-FFF2-40B4-BE49-F238E27FC236}">
              <a16:creationId xmlns:a16="http://schemas.microsoft.com/office/drawing/2014/main" id="{2F9C5862-6447-9138-FFAC-F4D155BA2674}"/>
            </a:ext>
          </a:extLst>
        </xdr:cNvPr>
        <xdr:cNvSpPr txBox="1"/>
      </xdr:nvSpPr>
      <xdr:spPr>
        <a:xfrm>
          <a:off x="3322320" y="2194560"/>
          <a:ext cx="1554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i="0" u="none" strike="noStrike">
              <a:solidFill>
                <a:schemeClr val="bg1"/>
              </a:solidFill>
              <a:latin typeface="Calibri"/>
              <a:ea typeface="Calibri"/>
              <a:cs typeface="Calibri"/>
            </a:rPr>
            <a:t>  </a:t>
          </a:r>
          <a:fld id="{42939BE8-99CA-4105-A4AF-F9DEBA254232}" type="TxLink">
            <a:rPr lang="en-US" sz="1800" b="1" i="0" u="none" strike="noStrike">
              <a:solidFill>
                <a:schemeClr val="bg1"/>
              </a:solidFill>
              <a:latin typeface="Calibri"/>
              <a:ea typeface="Calibri"/>
              <a:cs typeface="Calibri"/>
            </a:rPr>
            <a:pPr marL="0" indent="0" algn="l"/>
            <a:t>33.32%</a:t>
          </a:fld>
          <a:endParaRPr lang="en-IN" sz="1800" b="1" i="0" u="none" strike="noStrike">
            <a:solidFill>
              <a:schemeClr val="bg1"/>
            </a:solidFill>
            <a:latin typeface="Calibri"/>
            <a:ea typeface="Calibri"/>
            <a:cs typeface="Calibri"/>
          </a:endParaRPr>
        </a:p>
      </xdr:txBody>
    </xdr:sp>
    <xdr:clientData/>
  </xdr:twoCellAnchor>
  <xdr:twoCellAnchor>
    <xdr:from>
      <xdr:col>4</xdr:col>
      <xdr:colOff>30480</xdr:colOff>
      <xdr:row>14</xdr:row>
      <xdr:rowOff>152400</xdr:rowOff>
    </xdr:from>
    <xdr:to>
      <xdr:col>8</xdr:col>
      <xdr:colOff>15240</xdr:colOff>
      <xdr:row>27</xdr:row>
      <xdr:rowOff>7620</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B582DCE6-5C72-42A8-A31E-8006DAD28E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468880" y="2712720"/>
              <a:ext cx="2423160" cy="2232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114300</xdr:colOff>
      <xdr:row>0</xdr:row>
      <xdr:rowOff>45720</xdr:rowOff>
    </xdr:from>
    <xdr:to>
      <xdr:col>1</xdr:col>
      <xdr:colOff>167640</xdr:colOff>
      <xdr:row>3</xdr:row>
      <xdr:rowOff>160020</xdr:rowOff>
    </xdr:to>
    <xdr:pic>
      <xdr:nvPicPr>
        <xdr:cNvPr id="73" name="Graphic 1" descr="Bank with solid fill">
          <a:extLst>
            <a:ext uri="{FF2B5EF4-FFF2-40B4-BE49-F238E27FC236}">
              <a16:creationId xmlns:a16="http://schemas.microsoft.com/office/drawing/2014/main" id="{F409AD25-8A03-4D61-AC8E-9FE6C3F0877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4300" y="45720"/>
          <a:ext cx="662940" cy="662940"/>
        </a:xfrm>
        <a:prstGeom prst="rect">
          <a:avLst/>
        </a:prstGeom>
      </xdr:spPr>
    </xdr:pic>
    <xdr:clientData/>
  </xdr:twoCellAnchor>
  <xdr:twoCellAnchor editAs="oneCell">
    <xdr:from>
      <xdr:col>1</xdr:col>
      <xdr:colOff>335280</xdr:colOff>
      <xdr:row>6</xdr:row>
      <xdr:rowOff>0</xdr:rowOff>
    </xdr:from>
    <xdr:to>
      <xdr:col>2</xdr:col>
      <xdr:colOff>426720</xdr:colOff>
      <xdr:row>9</xdr:row>
      <xdr:rowOff>152400</xdr:rowOff>
    </xdr:to>
    <xdr:pic>
      <xdr:nvPicPr>
        <xdr:cNvPr id="74" name="Graphic 4" descr="City with solid fill">
          <a:extLst>
            <a:ext uri="{FF2B5EF4-FFF2-40B4-BE49-F238E27FC236}">
              <a16:creationId xmlns:a16="http://schemas.microsoft.com/office/drawing/2014/main" id="{AA5059D8-2AC6-45FE-87F9-B671105571B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44880" y="1097280"/>
          <a:ext cx="701040" cy="701040"/>
        </a:xfrm>
        <a:prstGeom prst="rect">
          <a:avLst/>
        </a:prstGeom>
      </xdr:spPr>
    </xdr:pic>
    <xdr:clientData/>
  </xdr:twoCellAnchor>
  <xdr:twoCellAnchor editAs="oneCell">
    <xdr:from>
      <xdr:col>1</xdr:col>
      <xdr:colOff>342900</xdr:colOff>
      <xdr:row>11</xdr:row>
      <xdr:rowOff>129540</xdr:rowOff>
    </xdr:from>
    <xdr:to>
      <xdr:col>2</xdr:col>
      <xdr:colOff>403860</xdr:colOff>
      <xdr:row>15</xdr:row>
      <xdr:rowOff>68580</xdr:rowOff>
    </xdr:to>
    <xdr:pic>
      <xdr:nvPicPr>
        <xdr:cNvPr id="75" name="Graphic 3" descr="Chevron arrows with solid fill">
          <a:extLst>
            <a:ext uri="{FF2B5EF4-FFF2-40B4-BE49-F238E27FC236}">
              <a16:creationId xmlns:a16="http://schemas.microsoft.com/office/drawing/2014/main" id="{E16E82E1-75A2-449D-AE1B-365B22DABF1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2500" y="2141220"/>
          <a:ext cx="670560" cy="670560"/>
        </a:xfrm>
        <a:prstGeom prst="rect">
          <a:avLst/>
        </a:prstGeom>
      </xdr:spPr>
    </xdr:pic>
    <xdr:clientData/>
  </xdr:twoCellAnchor>
  <xdr:twoCellAnchor editAs="oneCell">
    <xdr:from>
      <xdr:col>4</xdr:col>
      <xdr:colOff>220980</xdr:colOff>
      <xdr:row>6</xdr:row>
      <xdr:rowOff>38100</xdr:rowOff>
    </xdr:from>
    <xdr:to>
      <xdr:col>5</xdr:col>
      <xdr:colOff>251460</xdr:colOff>
      <xdr:row>9</xdr:row>
      <xdr:rowOff>129540</xdr:rowOff>
    </xdr:to>
    <xdr:pic>
      <xdr:nvPicPr>
        <xdr:cNvPr id="76" name="Graphic 2" descr="Bar chart with solid fill">
          <a:extLst>
            <a:ext uri="{FF2B5EF4-FFF2-40B4-BE49-F238E27FC236}">
              <a16:creationId xmlns:a16="http://schemas.microsoft.com/office/drawing/2014/main" id="{F5255ABF-1449-40D5-8D0A-C97838D4061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659380" y="1135380"/>
          <a:ext cx="640080" cy="640080"/>
        </a:xfrm>
        <a:prstGeom prst="rect">
          <a:avLst/>
        </a:prstGeom>
      </xdr:spPr>
    </xdr:pic>
    <xdr:clientData/>
  </xdr:twoCellAnchor>
  <xdr:twoCellAnchor editAs="oneCell">
    <xdr:from>
      <xdr:col>4</xdr:col>
      <xdr:colOff>213360</xdr:colOff>
      <xdr:row>11</xdr:row>
      <xdr:rowOff>121920</xdr:rowOff>
    </xdr:from>
    <xdr:to>
      <xdr:col>5</xdr:col>
      <xdr:colOff>236220</xdr:colOff>
      <xdr:row>15</xdr:row>
      <xdr:rowOff>22860</xdr:rowOff>
    </xdr:to>
    <xdr:pic>
      <xdr:nvPicPr>
        <xdr:cNvPr id="77" name="Graphic 5" descr="Downward trend graph with solid fill">
          <a:extLst>
            <a:ext uri="{FF2B5EF4-FFF2-40B4-BE49-F238E27FC236}">
              <a16:creationId xmlns:a16="http://schemas.microsoft.com/office/drawing/2014/main" id="{99C9E948-9806-4784-95BF-CBA1470D801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651760" y="2133600"/>
          <a:ext cx="632460" cy="632460"/>
        </a:xfrm>
        <a:prstGeom prst="rect">
          <a:avLst/>
        </a:prstGeom>
      </xdr:spPr>
    </xdr:pic>
    <xdr:clientData/>
  </xdr:twoCellAnchor>
  <xdr:twoCellAnchor editAs="oneCell">
    <xdr:from>
      <xdr:col>7</xdr:col>
      <xdr:colOff>205740</xdr:colOff>
      <xdr:row>6</xdr:row>
      <xdr:rowOff>91440</xdr:rowOff>
    </xdr:from>
    <xdr:to>
      <xdr:col>8</xdr:col>
      <xdr:colOff>91440</xdr:colOff>
      <xdr:row>9</xdr:row>
      <xdr:rowOff>38100</xdr:rowOff>
    </xdr:to>
    <xdr:pic>
      <xdr:nvPicPr>
        <xdr:cNvPr id="82" name="Graphic 81" descr="Dollar with solid fill">
          <a:extLst>
            <a:ext uri="{FF2B5EF4-FFF2-40B4-BE49-F238E27FC236}">
              <a16:creationId xmlns:a16="http://schemas.microsoft.com/office/drawing/2014/main" id="{E469F1A2-BC09-4890-AC53-29148FDA08D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472940" y="1188720"/>
          <a:ext cx="495300" cy="495300"/>
        </a:xfrm>
        <a:prstGeom prst="rect">
          <a:avLst/>
        </a:prstGeom>
      </xdr:spPr>
    </xdr:pic>
    <xdr:clientData/>
  </xdr:twoCellAnchor>
  <xdr:twoCellAnchor editAs="oneCell">
    <xdr:from>
      <xdr:col>6</xdr:col>
      <xdr:colOff>601980</xdr:colOff>
      <xdr:row>11</xdr:row>
      <xdr:rowOff>99060</xdr:rowOff>
    </xdr:from>
    <xdr:to>
      <xdr:col>8</xdr:col>
      <xdr:colOff>45720</xdr:colOff>
      <xdr:row>15</xdr:row>
      <xdr:rowOff>30480</xdr:rowOff>
    </xdr:to>
    <xdr:pic>
      <xdr:nvPicPr>
        <xdr:cNvPr id="83" name="Graphic 82" descr="Arrow circle with solid fill">
          <a:extLst>
            <a:ext uri="{FF2B5EF4-FFF2-40B4-BE49-F238E27FC236}">
              <a16:creationId xmlns:a16="http://schemas.microsoft.com/office/drawing/2014/main" id="{0FACE07C-846B-4573-A738-99532231C9A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259580" y="2110740"/>
          <a:ext cx="662940" cy="6629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430306134258" backgroundQuery="1" createdVersion="8" refreshedVersion="8" minRefreshableVersion="3" recordCount="0" supportSubquery="1" supportAdvancedDrill="1" xr:uid="{E035EED0-9D85-46C7-83E8-4D87A5E0CF97}">
  <cacheSource type="external" connectionId="2"/>
  <cacheFields count="1">
    <cacheField name="[Measures].[Total Revenue]" caption="Total Revenue" numFmtId="0" hierarchy="14" level="32767"/>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0"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0"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0"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0"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0" memberValueDatatype="20" unbalanced="0"/>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oneField="1">
      <fieldsUsage count="1">
        <fieldUsage x="0"/>
      </fieldsUsage>
    </cacheHierarchy>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431318287039" backgroundQuery="1" createdVersion="8" refreshedVersion="8" minRefreshableVersion="3" recordCount="0" supportSubquery="1" supportAdvancedDrill="1" xr:uid="{2AF2B3AD-F5CE-4A8C-85D2-6C7D137E7F91}">
  <cacheSource type="external" connectionId="2"/>
  <cacheFields count="1">
    <cacheField name="[Measures].[Total Orders]" caption="Total Orders" numFmtId="0" hierarchy="15" level="32767"/>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0"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0"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0"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0"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0" memberValueDatatype="20" unbalanced="0"/>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cacheHierarchy uniqueName="[Measures].[Total Orders]" caption="Total Orders" measure="1" displayFolder="" measureGroup="Corporate_Messy_Dataset_2000_Rows" count="0" oneField="1">
      <fieldsUsage count="1">
        <fieldUsage x="0"/>
      </fieldsUsage>
    </cacheHierarchy>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431484837965" backgroundQuery="1" createdVersion="8" refreshedVersion="8" minRefreshableVersion="3" recordCount="0" supportSubquery="1" supportAdvancedDrill="1" xr:uid="{46F944C8-0202-42BB-81BE-95EC8492757F}">
  <cacheSource type="external" connectionId="2"/>
  <cacheFields count="1">
    <cacheField name="[Measures].[Total Customers]" caption="Total Customers" numFmtId="0" hierarchy="16" level="32767"/>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0"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0"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0"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0"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0" memberValueDatatype="20" unbalanced="0"/>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oneField="1">
      <fieldsUsage count="1">
        <fieldUsage x="0"/>
      </fieldsUsage>
    </cacheHierarchy>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431631481479" backgroundQuery="1" createdVersion="8" refreshedVersion="8" minRefreshableVersion="3" recordCount="0" supportSubquery="1" supportAdvancedDrill="1" xr:uid="{E66F7514-910F-4955-B38E-26287D5852E2}">
  <cacheSource type="external" connectionId="2"/>
  <cacheFields count="1">
    <cacheField name="[Measures].[Average Order value]" caption="Average Order value" numFmtId="0" hierarchy="17" level="32767"/>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0"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0"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0"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0"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0" memberValueDatatype="20" unbalanced="0"/>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oneField="1">
      <fieldsUsage count="1">
        <fieldUsage x="0"/>
      </fieldsUsage>
    </cacheHierarchy>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431868402775" backgroundQuery="1" createdVersion="8" refreshedVersion="8" minRefreshableVersion="3" recordCount="0" supportSubquery="1" supportAdvancedDrill="1" xr:uid="{54870BAE-1306-4BF4-98C1-6CB42CBBE34C}">
  <cacheSource type="external" connectionId="2"/>
  <cacheFields count="1">
    <cacheField name="[Measures].[Cancellation rate]" caption="Cancellation rate" numFmtId="0" hierarchy="19" level="32767"/>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0"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0"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0"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0"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0" memberValueDatatype="20" unbalanced="0"/>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oneField="1">
      <fieldsUsage count="1">
        <fieldUsage x="0"/>
      </fieldsUsage>
    </cacheHierarchy>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431977430555" backgroundQuery="1" createdVersion="8" refreshedVersion="8" minRefreshableVersion="3" recordCount="0" supportSubquery="1" supportAdvancedDrill="1" xr:uid="{7860E947-3FBC-4F03-A648-90DFD50733F4}">
  <cacheSource type="external" connectionId="2"/>
  <cacheFields count="1">
    <cacheField name="[Measures].[Return Rate]" caption="Return Rate" numFmtId="0" hierarchy="21" level="32767"/>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0"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0"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0"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0"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0" memberValueDatatype="20" unbalanced="0"/>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oneField="1">
      <fieldsUsage count="1">
        <fieldUsage x="0"/>
      </fieldsUsage>
    </cacheHierarchy>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66101273145" backgroundQuery="1" createdVersion="8" refreshedVersion="8" minRefreshableVersion="3" recordCount="0" supportSubquery="1" supportAdvancedDrill="1" xr:uid="{27C764A6-2516-4BAF-A34A-8FA792AA6313}">
  <cacheSource type="external" connectionId="2"/>
  <cacheFields count="3">
    <cacheField name="[Measures].[Total Revenue]" caption="Total Revenue" numFmtId="0" hierarchy="14" level="32767"/>
    <cacheField name="[Corporate_Messy_Dataset_2000_Rows].[Month Name].[Month Name]" caption="Month Name" numFmtId="0" hierarchy="11" level="1">
      <sharedItems count="12">
        <s v="April"/>
        <s v="August"/>
        <s v="December"/>
        <s v="February"/>
        <s v="January"/>
        <s v="July"/>
        <s v="June"/>
        <s v="March"/>
        <s v="May"/>
        <s v="November"/>
        <s v="October"/>
        <s v="September"/>
      </sharedItems>
    </cacheField>
    <cacheField name="[Corporate_Messy_Dataset_2000_Rows].[Year].[Year]" caption="Year" numFmtId="0" hierarchy="12" level="1">
      <sharedItems containsSemiMixedTypes="0" containsNonDate="0" containsString="0"/>
    </cacheField>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2"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2"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2"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2"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2"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2"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2"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2"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2"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2"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2"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2" memberValueDatatype="130" unbalanced="0">
      <fieldsUsage count="2">
        <fieldUsage x="-1"/>
        <fieldUsage x="1"/>
      </fieldsUsage>
    </cacheHierarchy>
    <cacheHierarchy uniqueName="[Corporate_Messy_Dataset_2000_Rows].[Year]" caption="Year" attribute="1" defaultMemberUniqueName="[Corporate_Messy_Dataset_2000_Rows].[Year].[All]" allUniqueName="[Corporate_Messy_Dataset_2000_Rows].[Year].[All]" dimensionUniqueName="[Corporate_Messy_Dataset_2000_Rows]" displayFolder="" count="2" memberValueDatatype="20" unbalanced="0">
      <fieldsUsage count="2">
        <fieldUsage x="-1"/>
        <fieldUsage x="2"/>
      </fieldsUsage>
    </cacheHierarchy>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2" memberValueDatatype="20" unbalanced="0"/>
    <cacheHierarchy uniqueName="[Measures].[Total Revenue]" caption="Total Revenue" measure="1" displayFolder="" measureGroup="Corporate_Messy_Dataset_2000_Rows" count="0" oneField="1">
      <fieldsUsage count="1">
        <fieldUsage x="0"/>
      </fieldsUsage>
    </cacheHierarchy>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66101736114" backgroundQuery="1" createdVersion="8" refreshedVersion="8" minRefreshableVersion="3" recordCount="0" supportSubquery="1" supportAdvancedDrill="1" xr:uid="{AFE8D3E9-20F8-4E44-9C87-957330B7DC58}">
  <cacheSource type="external" connectionId="2"/>
  <cacheFields count="3">
    <cacheField name="[Measures].[Total Revenue]" caption="Total Revenue" numFmtId="0" hierarchy="14" level="32767"/>
    <cacheField name="[Corporate_Messy_Dataset_2000_Rows].[OrderStatus].[OrderStatus]" caption="OrderStatus" numFmtId="0" hierarchy="9" level="1">
      <sharedItems count="4">
        <s v="Cancelled"/>
        <s v="Delivered"/>
        <s v="Returned"/>
        <s v="Shipped"/>
      </sharedItems>
    </cacheField>
    <cacheField name="[Corporate_Messy_Dataset_2000_Rows].[Year].[Year]" caption="Year" numFmtId="0" hierarchy="12" level="1">
      <sharedItems containsSemiMixedTypes="0" containsNonDate="0" containsString="0"/>
    </cacheField>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2"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2"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2"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2" memberValueDatatype="130" unbalanced="0">
      <fieldsUsage count="2">
        <fieldUsage x="-1"/>
        <fieldUsage x="1"/>
      </fieldsUsage>
    </cacheHierarchy>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2" memberValueDatatype="20" unbalanced="0">
      <fieldsUsage count="2">
        <fieldUsage x="-1"/>
        <fieldUsage x="2"/>
      </fieldsUsage>
    </cacheHierarchy>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oneField="1">
      <fieldsUsage count="1">
        <fieldUsage x="0"/>
      </fieldsUsage>
    </cacheHierarchy>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66102314815" backgroundQuery="1" createdVersion="8" refreshedVersion="8" minRefreshableVersion="3" recordCount="0" supportSubquery="1" supportAdvancedDrill="1" xr:uid="{68ED7B3D-5C2C-4369-8709-3C1085943F74}">
  <cacheSource type="external" connectionId="2"/>
  <cacheFields count="3">
    <cacheField name="[Measures].[Total Revenue]" caption="Total Revenue" numFmtId="0" hierarchy="14" level="32767"/>
    <cacheField name="[Corporate_Messy_Dataset_2000_Rows].[PaymentMethod].[PaymentMethod]" caption="PaymentMethod" numFmtId="0" hierarchy="10" level="1">
      <sharedItems count="5">
        <s v="cash"/>
        <s v="Credit Card"/>
        <s v="Debit Card"/>
        <s v="Net Banking"/>
        <s v="UPI"/>
      </sharedItems>
    </cacheField>
    <cacheField name="[Corporate_Messy_Dataset_2000_Rows].[Year].[Year]" caption="Year" numFmtId="0" hierarchy="12" level="1">
      <sharedItems containsSemiMixedTypes="0" containsNonDate="0" containsString="0"/>
    </cacheField>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2"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2"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2"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2"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2"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2" memberValueDatatype="130" unbalanced="0">
      <fieldsUsage count="2">
        <fieldUsage x="-1"/>
        <fieldUsage x="1"/>
      </fieldsUsage>
    </cacheHierarchy>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2" memberValueDatatype="20" unbalanced="0">
      <fieldsUsage count="2">
        <fieldUsage x="-1"/>
        <fieldUsage x="2"/>
      </fieldsUsage>
    </cacheHierarchy>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oneField="1">
      <fieldsUsage count="1">
        <fieldUsage x="0"/>
      </fieldsUsage>
    </cacheHierarchy>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66102893515" backgroundQuery="1" createdVersion="8" refreshedVersion="8" minRefreshableVersion="3" recordCount="0" supportSubquery="1" supportAdvancedDrill="1" xr:uid="{87B20267-0B49-4DD0-956C-9654D6C2DC4E}">
  <cacheSource type="external" connectionId="2"/>
  <cacheFields count="3">
    <cacheField name="[Measures].[Total Revenue]" caption="Total Revenue" numFmtId="0" hierarchy="14" level="32767"/>
    <cacheField name="[Corporate_Messy_Dataset_2000_Rows].[Region].[Region]" caption="Region" numFmtId="0" hierarchy="4" level="1">
      <sharedItems count="4">
        <s v="East"/>
        <s v="North"/>
        <s v="South"/>
        <s v="West"/>
      </sharedItems>
    </cacheField>
    <cacheField name="[Corporate_Messy_Dataset_2000_Rows].[Year].[Year]" caption="Year" numFmtId="0" hierarchy="12" level="1">
      <sharedItems containsSemiMixedTypes="0" containsNonDate="0" containsString="0"/>
    </cacheField>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2"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2"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2"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2"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2" memberValueDatatype="130" unbalanced="0">
      <fieldsUsage count="2">
        <fieldUsage x="-1"/>
        <fieldUsage x="1"/>
      </fieldsUsage>
    </cacheHierarchy>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2"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2"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2"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2"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2"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2"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2"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2" memberValueDatatype="20" unbalanced="0">
      <fieldsUsage count="2">
        <fieldUsage x="-1"/>
        <fieldUsage x="2"/>
      </fieldsUsage>
    </cacheHierarchy>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2" memberValueDatatype="20" unbalanced="0"/>
    <cacheHierarchy uniqueName="[Measures].[Total Revenue]" caption="Total Revenue" measure="1" displayFolder="" measureGroup="Corporate_Messy_Dataset_2000_Rows" count="0" oneField="1">
      <fieldsUsage count="1">
        <fieldUsage x="0"/>
      </fieldsUsage>
    </cacheHierarchy>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66103356484" backgroundQuery="1" createdVersion="8" refreshedVersion="8" minRefreshableVersion="3" recordCount="0" supportSubquery="1" supportAdvancedDrill="1" xr:uid="{44E3FEFA-041F-49D3-BBF4-028C52112535}">
  <cacheSource type="external" connectionId="2"/>
  <cacheFields count="3">
    <cacheField name="[Measures].[Total Revenue]" caption="Total Revenue" numFmtId="0" hierarchy="14" level="32767"/>
    <cacheField name="[Corporate_Messy_Dataset_2000_Rows].[Salesperson].[Salesperson]" caption="Salesperson" numFmtId="0" hierarchy="5" level="1">
      <sharedItems count="8">
        <s v="Amit"/>
        <s v="Karan"/>
        <s v="Neha"/>
        <s v="Pooja"/>
        <s v="Priya"/>
        <s v="Rahul"/>
        <s v="Sneha"/>
        <s v="Vikas"/>
      </sharedItems>
    </cacheField>
    <cacheField name="[Corporate_Messy_Dataset_2000_Rows].[Year].[Year]" caption="Year" numFmtId="0" hierarchy="12" level="1">
      <sharedItems containsSemiMixedTypes="0" containsNonDate="0" containsString="0"/>
    </cacheField>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2"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2"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2"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2" memberValueDatatype="130" unbalanced="0">
      <fieldsUsage count="2">
        <fieldUsage x="-1"/>
        <fieldUsage x="1"/>
      </fieldsUsage>
    </cacheHierarchy>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2"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2" memberValueDatatype="20" unbalanced="0">
      <fieldsUsage count="2">
        <fieldUsage x="-1"/>
        <fieldUsage x="2"/>
      </fieldsUsage>
    </cacheHierarchy>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oneField="1">
      <fieldsUsage count="1">
        <fieldUsage x="0"/>
      </fieldsUsage>
    </cacheHierarchy>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3.466104398147" backgroundQuery="1" createdVersion="8" refreshedVersion="8" minRefreshableVersion="3" recordCount="0" supportSubquery="1" supportAdvancedDrill="1" xr:uid="{4D25906A-6E85-4BE6-BB73-92C00571D6DB}">
  <cacheSource type="external" connectionId="2"/>
  <cacheFields count="3">
    <cacheField name="[Measures].[Total Revenue]" caption="Total Revenue" numFmtId="0" hierarchy="14" level="32767"/>
    <cacheField name="[Corporate_Messy_Dataset_2000_Rows].[Product].[Product]" caption="Product" numFmtId="0" hierarchy="3" level="1">
      <sharedItems count="5">
        <s v="Headset"/>
        <s v="Keyboard"/>
        <s v="Laptop"/>
        <s v="Monitor"/>
        <s v="Speaker"/>
      </sharedItems>
    </cacheField>
    <cacheField name="[Corporate_Messy_Dataset_2000_Rows].[Year].[Year]" caption="Year" numFmtId="0" hierarchy="12" level="1">
      <sharedItems containsSemiMixedTypes="0" containsNonDate="0" containsString="0"/>
    </cacheField>
  </cacheFields>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2"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2" memberValueDatatype="130" unbalanced="0">
      <fieldsUsage count="2">
        <fieldUsage x="-1"/>
        <fieldUsage x="1"/>
      </fieldsUsage>
    </cacheHierarchy>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2"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2"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2" memberValueDatatype="20" unbalanced="0">
      <fieldsUsage count="2">
        <fieldUsage x="-1"/>
        <fieldUsage x="2"/>
      </fieldsUsage>
    </cacheHierarchy>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oneField="1">
      <fieldsUsage count="1">
        <fieldUsage x="0"/>
      </fieldsUsage>
    </cacheHierarchy>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dimensions count="2">
    <dimension name="Corporate_Messy_Dataset_2000_Rows" uniqueName="[Corporate_Messy_Dataset_2000_Rows]" caption="Corporate_Messy_Dataset_2000_Rows"/>
    <dimension measure="1" name="Measures" uniqueName="[Measures]" caption="Measures"/>
  </dimensions>
  <measureGroups count="1">
    <measureGroup name="Corporate_Messy_Dataset_2000_Rows" caption="Corporate_Messy_Dataset_2000_Row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448648495367" backgroundQuery="1" createdVersion="3" refreshedVersion="8" minRefreshableVersion="3" recordCount="0" supportSubquery="1" supportAdvancedDrill="1" xr:uid="{2C2A5E58-87C6-419B-B39B-1DB9CC038CF4}">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0"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2"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2"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2"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2" memberValueDatatype="20" unbalanced="0"/>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9170392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182.451264699077" backgroundQuery="1" createdVersion="3" refreshedVersion="8" minRefreshableVersion="3" recordCount="0" supportSubquery="1" supportAdvancedDrill="1" xr:uid="{9B586A33-0F08-4F69-9AAC-B3B2C76972A8}">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Corporate_Messy_Dataset_2000_Rows].[OrderID]" caption="OrderID" attribute="1" defaultMemberUniqueName="[Corporate_Messy_Dataset_2000_Rows].[OrderID].[All]" allUniqueName="[Corporate_Messy_Dataset_2000_Rows].[OrderID].[All]" dimensionUniqueName="[Corporate_Messy_Dataset_2000_Rows]" displayFolder="" count="0" memberValueDatatype="130" unbalanced="0"/>
    <cacheHierarchy uniqueName="[Corporate_Messy_Dataset_2000_Rows].[OrderDate]" caption="OrderDate" attribute="1" time="1" defaultMemberUniqueName="[Corporate_Messy_Dataset_2000_Rows].[OrderDate].[All]" allUniqueName="[Corporate_Messy_Dataset_2000_Rows].[OrderDate].[All]" dimensionUniqueName="[Corporate_Messy_Dataset_2000_Rows]" displayFolder="" count="2" memberValueDatatype="7" unbalanced="0"/>
    <cacheHierarchy uniqueName="[Corporate_Messy_Dataset_2000_Rows].[CustomerName]" caption="CustomerName" attribute="1" defaultMemberUniqueName="[Corporate_Messy_Dataset_2000_Rows].[CustomerName].[All]" allUniqueName="[Corporate_Messy_Dataset_2000_Rows].[CustomerName].[All]" dimensionUniqueName="[Corporate_Messy_Dataset_2000_Rows]" displayFolder="" count="0" memberValueDatatype="130" unbalanced="0"/>
    <cacheHierarchy uniqueName="[Corporate_Messy_Dataset_2000_Rows].[Product]" caption="Product" attribute="1" defaultMemberUniqueName="[Corporate_Messy_Dataset_2000_Rows].[Product].[All]" allUniqueName="[Corporate_Messy_Dataset_2000_Rows].[Product].[All]" dimensionUniqueName="[Corporate_Messy_Dataset_2000_Rows]" displayFolder="" count="0" memberValueDatatype="130" unbalanced="0"/>
    <cacheHierarchy uniqueName="[Corporate_Messy_Dataset_2000_Rows].[Region]" caption="Region" attribute="1" defaultMemberUniqueName="[Corporate_Messy_Dataset_2000_Rows].[Region].[All]" allUniqueName="[Corporate_Messy_Dataset_2000_Rows].[Region].[All]" dimensionUniqueName="[Corporate_Messy_Dataset_2000_Rows]" displayFolder="" count="0" memberValueDatatype="130" unbalanced="0"/>
    <cacheHierarchy uniqueName="[Corporate_Messy_Dataset_2000_Rows].[Salesperson]" caption="Salesperson" attribute="1" defaultMemberUniqueName="[Corporate_Messy_Dataset_2000_Rows].[Salesperson].[All]" allUniqueName="[Corporate_Messy_Dataset_2000_Rows].[Salesperson].[All]" dimensionUniqueName="[Corporate_Messy_Dataset_2000_Rows]" displayFolder="" count="0" memberValueDatatype="130" unbalanced="0"/>
    <cacheHierarchy uniqueName="[Corporate_Messy_Dataset_2000_Rows].[Quantity]" caption="Quantity" attribute="1" defaultMemberUniqueName="[Corporate_Messy_Dataset_2000_Rows].[Quantity].[All]" allUniqueName="[Corporate_Messy_Dataset_2000_Rows].[Quantity].[All]" dimensionUniqueName="[Corporate_Messy_Dataset_2000_Rows]" displayFolder="" count="0" memberValueDatatype="20" unbalanced="0"/>
    <cacheHierarchy uniqueName="[Corporate_Messy_Dataset_2000_Rows].[UnitPrice]" caption="UnitPrice" attribute="1" defaultMemberUniqueName="[Corporate_Messy_Dataset_2000_Rows].[UnitPrice].[All]" allUniqueName="[Corporate_Messy_Dataset_2000_Rows].[UnitPrice].[All]" dimensionUniqueName="[Corporate_Messy_Dataset_2000_Rows]" displayFolder="" count="0" memberValueDatatype="20" unbalanced="0"/>
    <cacheHierarchy uniqueName="[Corporate_Messy_Dataset_2000_Rows].[Revenue]" caption="Revenue" attribute="1" defaultMemberUniqueName="[Corporate_Messy_Dataset_2000_Rows].[Revenue].[All]" allUniqueName="[Corporate_Messy_Dataset_2000_Rows].[Revenue].[All]" dimensionUniqueName="[Corporate_Messy_Dataset_2000_Rows]" displayFolder="" count="0" memberValueDatatype="20" unbalanced="0"/>
    <cacheHierarchy uniqueName="[Corporate_Messy_Dataset_2000_Rows].[OrderStatus]" caption="OrderStatus" attribute="1" defaultMemberUniqueName="[Corporate_Messy_Dataset_2000_Rows].[OrderStatus].[All]" allUniqueName="[Corporate_Messy_Dataset_2000_Rows].[OrderStatus].[All]" dimensionUniqueName="[Corporate_Messy_Dataset_2000_Rows]" displayFolder="" count="0" memberValueDatatype="130" unbalanced="0"/>
    <cacheHierarchy uniqueName="[Corporate_Messy_Dataset_2000_Rows].[PaymentMethod]" caption="PaymentMethod" attribute="1" defaultMemberUniqueName="[Corporate_Messy_Dataset_2000_Rows].[PaymentMethod].[All]" allUniqueName="[Corporate_Messy_Dataset_2000_Rows].[PaymentMethod].[All]" dimensionUniqueName="[Corporate_Messy_Dataset_2000_Rows]" displayFolder="" count="0" memberValueDatatype="130" unbalanced="0"/>
    <cacheHierarchy uniqueName="[Corporate_Messy_Dataset_2000_Rows].[Month Name]" caption="Month Name" attribute="1" defaultMemberUniqueName="[Corporate_Messy_Dataset_2000_Rows].[Month Name].[All]" allUniqueName="[Corporate_Messy_Dataset_2000_Rows].[Month Name].[All]" dimensionUniqueName="[Corporate_Messy_Dataset_2000_Rows]" displayFolder="" count="0" memberValueDatatype="130" unbalanced="0"/>
    <cacheHierarchy uniqueName="[Corporate_Messy_Dataset_2000_Rows].[Year]" caption="Year" attribute="1" defaultMemberUniqueName="[Corporate_Messy_Dataset_2000_Rows].[Year].[All]" allUniqueName="[Corporate_Messy_Dataset_2000_Rows].[Year].[All]" dimensionUniqueName="[Corporate_Messy_Dataset_2000_Rows]" displayFolder="" count="0" memberValueDatatype="20" unbalanced="0"/>
    <cacheHierarchy uniqueName="[Corporate_Messy_Dataset_2000_Rows].[Quarter]" caption="Quarter" attribute="1" defaultMemberUniqueName="[Corporate_Messy_Dataset_2000_Rows].[Quarter].[All]" allUniqueName="[Corporate_Messy_Dataset_2000_Rows].[Quarter].[All]" dimensionUniqueName="[Corporate_Messy_Dataset_2000_Rows]" displayFolder="" count="0" memberValueDatatype="20" unbalanced="0"/>
    <cacheHierarchy uniqueName="[Measures].[Total Revenue]" caption="Total Revenue" measure="1" displayFolder="" measureGroup="Corporate_Messy_Dataset_2000_Rows" count="0"/>
    <cacheHierarchy uniqueName="[Measures].[Total Orders]" caption="Total Orders" measure="1" displayFolder="" measureGroup="Corporate_Messy_Dataset_2000_Rows" count="0"/>
    <cacheHierarchy uniqueName="[Measures].[Total Customers]" caption="Total Customers" measure="1" displayFolder="" measureGroup="Corporate_Messy_Dataset_2000_Rows" count="0"/>
    <cacheHierarchy uniqueName="[Measures].[Average Order value]" caption="Average Order value" measure="1" displayFolder="" measureGroup="Corporate_Messy_Dataset_2000_Rows" count="0"/>
    <cacheHierarchy uniqueName="[Measures].[Cancelled Orders]" caption="Cancelled Orders" measure="1" displayFolder="" measureGroup="Corporate_Messy_Dataset_2000_Rows" count="0"/>
    <cacheHierarchy uniqueName="[Measures].[Cancellation rate]" caption="Cancellation rate" measure="1" displayFolder="" measureGroup="Corporate_Messy_Dataset_2000_Rows" count="0"/>
    <cacheHierarchy uniqueName="[Measures].[Returned Orders]" caption="Returned Orders" measure="1" displayFolder="" measureGroup="Corporate_Messy_Dataset_2000_Rows" count="0"/>
    <cacheHierarchy uniqueName="[Measures].[Return Rate]" caption="Return Rate" measure="1" displayFolder="" measureGroup="Corporate_Messy_Dataset_2000_Rows" count="0"/>
    <cacheHierarchy uniqueName="[Measures].[__XL_Count Corporate_Messy_Dataset_2000_Rows]" caption="__XL_Count Corporate_Messy_Dataset_2000_Rows" measure="1" displayFolder="" measureGroup="Corporate_Messy_Dataset_2000_Row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181604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BEC29-FFD9-4B34-A316-1B6B2B8D213E}" name="TopProducts" cacheId="1202" applyNumberFormats="0" applyBorderFormats="0" applyFontFormats="0" applyPatternFormats="0" applyAlignmentFormats="0" applyWidthHeightFormats="1" dataCaption="Values" tag="1be54e76-fea9-4f3e-b93a-e8beeb322565" updatedVersion="8" minRefreshableVersion="5" useAutoFormatting="1" itemPrintTitles="1" createdVersion="8" indent="0" outline="1" outlineData="1" multipleFieldFilters="0" chartFormat="11">
  <location ref="H5:I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showDataAs="percentOfTotal" baseField="0" baseItem="0" numFmtId="10"/>
  </dataFields>
  <chartFormats count="1">
    <chartFormat chart="10"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orporate_Messy_Dataset_2000_Rows].[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4">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02A7FB-DB12-44B3-99B4-96D1D18B31C5}" name="PivotTable1" cacheId="685" applyNumberFormats="0" applyBorderFormats="0" applyFontFormats="0" applyPatternFormats="0" applyAlignmentFormats="0" applyWidthHeightFormats="1" dataCaption="Values" tag="0a9828d1-8378-4c1a-9326-a8ae7ecb145d"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D34FF4-F0C4-46E2-BA4E-332054F0471A}" name="PivotTable3" cacheId="687" applyNumberFormats="0" applyBorderFormats="0" applyFontFormats="0" applyPatternFormats="0" applyAlignmentFormats="0" applyWidthHeightFormats="1" dataCaption="Values" tag="8b983275-f2e4-4916-bd50-952a03a0aa63" updatedVersion="8" minRefreshableVersion="3"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943D85-F888-4321-A985-5D92B96B5DF5}" name="PivotTable6" cacheId="690" applyNumberFormats="0" applyBorderFormats="0" applyFontFormats="0" applyPatternFormats="0" applyAlignmentFormats="0" applyWidthHeightFormats="1" dataCaption="Values" tag="93b8344a-81fa-4e8e-b313-89ce498feebd" updatedVersion="8" minRefreshableVersion="3" useAutoFormatting="1" itemPrintTitles="1" createdVersion="8" indent="0" outline="1" outlineData="1" multipleFieldFilters="0">
  <location ref="K1:K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ACC9B2-15AB-4E10-9991-7113E5DFFFAE}" name="Regions" cacheId="1196" applyNumberFormats="0" applyBorderFormats="0" applyFontFormats="0" applyPatternFormats="0" applyAlignmentFormats="0" applyWidthHeightFormats="1" dataCaption="Values" tag="9419f601-fde2-4d01-ad25-4eac467d012a" updatedVersion="8" minRefreshableVersion="5" useAutoFormatting="1" itemPrintTitles="1" createdVersion="8" indent="0" outline="1" outlineData="1" multipleFieldFilters="0" chartFormat="8">
  <location ref="D5:E1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showDataAs="percentOfTotal" baseField="0" baseItem="0" numFmtId="10"/>
  </dataFields>
  <chartFormats count="1">
    <chartFormat chart="5"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orporate_Messy_Dataset_2000_Rows].[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38A161-0D20-4672-82F5-1329ACAE0C9A}" name="SalesPersons" cacheId="1199" applyNumberFormats="0" applyBorderFormats="0" applyFontFormats="0" applyPatternFormats="0" applyAlignmentFormats="0" applyWidthHeightFormats="1" dataCaption="Values" tag="26f42ea6-9b82-4d03-a12d-9cf28e07113d" updatedVersion="8" minRefreshableVersion="5" useAutoFormatting="1" itemPrintTitles="1" createdVersion="8" indent="0" outline="1" outlineData="1" multipleFieldFilters="0" chartFormat="15">
  <location ref="K5:L14"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orporate_Messy_Dataset_2000_Rows].[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0D4DBB-2CB6-4759-93C5-EF1F905FB097}" name="Months" cacheId="1187" applyNumberFormats="0" applyBorderFormats="0" applyFontFormats="0" applyPatternFormats="0" applyAlignmentFormats="0" applyWidthHeightFormats="1" dataCaption="Values" tag="5b5fbb38-e8d2-4852-93b9-95d405e30c60" updatedVersion="8" minRefreshableVersion="5" useAutoFormatting="1" itemPrintTitles="1" createdVersion="8" indent="0" outline="1" outlineData="1" multipleFieldFilters="0" chartFormat="6">
  <location ref="A5:B1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orporate_Messy_Dataset_2000_Rows].[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24F179-0DB6-4440-9434-8245353B5023}" name="Payment Mode" cacheId="1193" applyNumberFormats="0" applyBorderFormats="0" applyFontFormats="0" applyPatternFormats="0" applyAlignmentFormats="0" applyWidthHeightFormats="1" dataCaption="Values" tag="93972689-d101-467d-8e04-4dab6a0ebf1a" updatedVersion="8" minRefreshableVersion="5" useAutoFormatting="1" itemPrintTitles="1" createdVersion="8" indent="0" outline="1" outlineData="1" multipleFieldFilters="0" chartFormat="25">
  <location ref="T5:U1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showDataAs="percentOfTotal" baseField="0" baseItem="0" numFmtId="10"/>
  </dataFields>
  <chartFormats count="13">
    <chartFormat chart="3" format="0"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1" count="1" selected="0">
            <x v="0"/>
          </reference>
        </references>
      </pivotArea>
    </chartFormat>
    <chartFormat chart="20" format="15">
      <pivotArea type="data" outline="0" fieldPosition="0">
        <references count="2">
          <reference field="4294967294" count="1" selected="0">
            <x v="0"/>
          </reference>
          <reference field="1" count="1" selected="0">
            <x v="1"/>
          </reference>
        </references>
      </pivotArea>
    </chartFormat>
    <chartFormat chart="20" format="16">
      <pivotArea type="data" outline="0" fieldPosition="0">
        <references count="2">
          <reference field="4294967294" count="1" selected="0">
            <x v="0"/>
          </reference>
          <reference field="1" count="1" selected="0">
            <x v="2"/>
          </reference>
        </references>
      </pivotArea>
    </chartFormat>
    <chartFormat chart="20" format="17">
      <pivotArea type="data" outline="0" fieldPosition="0">
        <references count="2">
          <reference field="4294967294" count="1" selected="0">
            <x v="0"/>
          </reference>
          <reference field="1" count="1" selected="0">
            <x v="3"/>
          </reference>
        </references>
      </pivotArea>
    </chartFormat>
    <chartFormat chart="20" format="18">
      <pivotArea type="data" outline="0" fieldPosition="0">
        <references count="2">
          <reference field="4294967294" count="1" selected="0">
            <x v="0"/>
          </reference>
          <reference field="1" count="1" selected="0">
            <x v="4"/>
          </reference>
        </references>
      </pivotArea>
    </chartFormat>
    <chartFormat chart="21" format="19" series="1">
      <pivotArea type="data" outline="0" fieldPosition="0">
        <references count="1">
          <reference field="4294967294" count="1" selected="0">
            <x v="0"/>
          </reference>
        </references>
      </pivotArea>
    </chartFormat>
    <chartFormat chart="21" format="20">
      <pivotArea type="data" outline="0" fieldPosition="0">
        <references count="2">
          <reference field="4294967294" count="1" selected="0">
            <x v="0"/>
          </reference>
          <reference field="1" count="1" selected="0">
            <x v="0"/>
          </reference>
        </references>
      </pivotArea>
    </chartFormat>
    <chartFormat chart="21" format="21">
      <pivotArea type="data" outline="0" fieldPosition="0">
        <references count="2">
          <reference field="4294967294" count="1" selected="0">
            <x v="0"/>
          </reference>
          <reference field="1" count="1" selected="0">
            <x v="1"/>
          </reference>
        </references>
      </pivotArea>
    </chartFormat>
    <chartFormat chart="21" format="22">
      <pivotArea type="data" outline="0" fieldPosition="0">
        <references count="2">
          <reference field="4294967294" count="1" selected="0">
            <x v="0"/>
          </reference>
          <reference field="1" count="1" selected="0">
            <x v="2"/>
          </reference>
        </references>
      </pivotArea>
    </chartFormat>
    <chartFormat chart="21" format="23">
      <pivotArea type="data" outline="0" fieldPosition="0">
        <references count="2">
          <reference field="4294967294" count="1" selected="0">
            <x v="0"/>
          </reference>
          <reference field="1" count="1" selected="0">
            <x v="3"/>
          </reference>
        </references>
      </pivotArea>
    </chartFormat>
    <chartFormat chart="21" format="24">
      <pivotArea type="data" outline="0" fieldPosition="0">
        <references count="2">
          <reference field="4294967294" count="1" selected="0">
            <x v="0"/>
          </reference>
          <reference field="1" count="1" selected="0">
            <x v="4"/>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orporate_Messy_Dataset_2000_Rows].[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89A1E9-82E9-4C79-A9DA-6D68F90D9656}" name="PivotTable2" cacheId="686" applyNumberFormats="0" applyBorderFormats="0" applyFontFormats="0" applyPatternFormats="0" applyAlignmentFormats="0" applyWidthHeightFormats="1" dataCaption="Values" tag="0a4960fd-792e-4aec-8986-4356b724dd83"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26BD3E-C8E5-44C8-A86A-43107F082068}" name="PivotTable5" cacheId="689" applyNumberFormats="0" applyBorderFormats="0" applyFontFormats="0" applyPatternFormats="0" applyAlignmentFormats="0" applyWidthHeightFormats="1" dataCaption="Values" tag="292c9e56-8f36-4e1b-a637-481b01919049" updatedVersion="8" minRefreshableVersion="3" useAutoFormatting="1" itemPrintTitles="1" createdVersion="8" indent="0" outline="1" outlineData="1" multipleFieldFilters="0">
  <location ref="I1:I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BBAFE4-87B7-439D-9A45-1E00FA7400C6}" name="Order Status" cacheId="1190" applyNumberFormats="0" applyBorderFormats="0" applyFontFormats="0" applyPatternFormats="0" applyAlignmentFormats="0" applyWidthHeightFormats="1" dataCaption="Values" tag="520be2ce-aa8b-4cd3-b42b-32e8a9d9ac3d" updatedVersion="8" minRefreshableVersion="5" useAutoFormatting="1" itemPrintTitles="1" createdVersion="8" indent="0" outline="1" outlineData="1" multipleFieldFilters="0" chartFormat="17">
  <location ref="Q5:R1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showDataAs="percentOfTotal" baseField="0" baseItem="0" numFmtId="10"/>
  </dataFields>
  <chartFormats count="11">
    <chartFormat chart="3" format="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1" count="1" selected="0">
            <x v="0"/>
          </reference>
        </references>
      </pivotArea>
    </chartFormat>
    <chartFormat chart="12" format="13">
      <pivotArea type="data" outline="0" fieldPosition="0">
        <references count="2">
          <reference field="4294967294" count="1" selected="0">
            <x v="0"/>
          </reference>
          <reference field="1" count="1" selected="0">
            <x v="1"/>
          </reference>
        </references>
      </pivotArea>
    </chartFormat>
    <chartFormat chart="12" format="14">
      <pivotArea type="data" outline="0" fieldPosition="0">
        <references count="2">
          <reference field="4294967294" count="1" selected="0">
            <x v="0"/>
          </reference>
          <reference field="1" count="1" selected="0">
            <x v="2"/>
          </reference>
        </references>
      </pivotArea>
    </chartFormat>
    <chartFormat chart="12" format="15">
      <pivotArea type="data" outline="0" fieldPosition="0">
        <references count="2">
          <reference field="4294967294" count="1" selected="0">
            <x v="0"/>
          </reference>
          <reference field="1"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 count="1" selected="0">
            <x v="0"/>
          </reference>
        </references>
      </pivotArea>
    </chartFormat>
    <chartFormat chart="13" format="18">
      <pivotArea type="data" outline="0" fieldPosition="0">
        <references count="2">
          <reference field="4294967294" count="1" selected="0">
            <x v="0"/>
          </reference>
          <reference field="1" count="1" selected="0">
            <x v="1"/>
          </reference>
        </references>
      </pivotArea>
    </chartFormat>
    <chartFormat chart="13" format="19">
      <pivotArea type="data" outline="0" fieldPosition="0">
        <references count="2">
          <reference field="4294967294" count="1" selected="0">
            <x v="0"/>
          </reference>
          <reference field="1" count="1" selected="0">
            <x v="2"/>
          </reference>
        </references>
      </pivotArea>
    </chartFormat>
    <chartFormat chart="13" format="20">
      <pivotArea type="data" outline="0" fieldPosition="0">
        <references count="2">
          <reference field="4294967294" count="1" selected="0">
            <x v="0"/>
          </reference>
          <reference field="1" count="1" selected="0">
            <x v="3"/>
          </reference>
        </references>
      </pivotArea>
    </chartFormat>
  </chartFormats>
  <pivotHierarchies count="2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orporate_Messy_Dataset_2000_Rows].[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7B2ADB-DB69-44E5-A2AF-18BA874C8D01}" name="PivotTable4" cacheId="688" applyNumberFormats="0" applyBorderFormats="0" applyFontFormats="0" applyPatternFormats="0" applyAlignmentFormats="0" applyWidthHeightFormats="1" dataCaption="Values" tag="bcf78c33-4963-4564-aaf0-5b6f626afd95" updatedVersion="8" minRefreshableVersion="3"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porate_Messy_Dataset_2000_Row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0503132-64CB-447E-B007-BA707D0A89BD}" sourceName="[Corporate_Messy_Dataset_2000_Rows].[Product]">
  <pivotTables>
    <pivotTable tabId="1" name="Regions"/>
    <pivotTable tabId="1" name="Months"/>
    <pivotTable tabId="1" name="Order Status"/>
    <pivotTable tabId="1" name="Payment Mode"/>
    <pivotTable tabId="1" name="SalesPersons"/>
    <pivotTable tabId="1" name="TopProducts"/>
  </pivotTables>
  <data>
    <olap pivotCacheId="1591703927">
      <levels count="2">
        <level uniqueName="[Corporate_Messy_Dataset_2000_Rows].[Product].[(All)]" sourceCaption="(All)" count="0"/>
        <level uniqueName="[Corporate_Messy_Dataset_2000_Rows].[Product].[Product]" sourceCaption="Product" count="10">
          <ranges>
            <range startItem="0">
              <i n="[Corporate_Messy_Dataset_2000_Rows].[Product].&amp;[Headset]" c="Headset"/>
              <i n="[Corporate_Messy_Dataset_2000_Rows].[Product].&amp;[Keyboard]" c="Keyboard"/>
              <i n="[Corporate_Messy_Dataset_2000_Rows].[Product].&amp;[Laptop]" c="Laptop"/>
              <i n="[Corporate_Messy_Dataset_2000_Rows].[Product].&amp;[Monitor]" c="Monitor"/>
              <i n="[Corporate_Messy_Dataset_2000_Rows].[Product].&amp;[Mouse]" c="Mouse"/>
              <i n="[Corporate_Messy_Dataset_2000_Rows].[Product].&amp;[Printer]" c="Printer"/>
              <i n="[Corporate_Messy_Dataset_2000_Rows].[Product].&amp;[Speaker]" c="Speaker"/>
              <i n="[Corporate_Messy_Dataset_2000_Rows].[Product].&amp;[SSD]" c="SSD"/>
              <i n="[Corporate_Messy_Dataset_2000_Rows].[Product].&amp;[Tablet]" c="Tablet"/>
              <i n="[Corporate_Messy_Dataset_2000_Rows].[Product].&amp;[Webcam]" c="Webcam"/>
            </range>
          </ranges>
        </level>
      </levels>
      <selections count="1">
        <selection n="[Corporate_Messy_Dataset_2000_Rows].[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2B84DB1-0A6D-4657-96AE-BE851CA9E3BB}" sourceName="[Corporate_Messy_Dataset_2000_Rows].[Year]">
  <pivotTables>
    <pivotTable tabId="1" name="Regions"/>
    <pivotTable tabId="1" name="Months"/>
    <pivotTable tabId="1" name="Order Status"/>
    <pivotTable tabId="1" name="Payment Mode"/>
    <pivotTable tabId="1" name="SalesPersons"/>
    <pivotTable tabId="1" name="TopProducts"/>
  </pivotTables>
  <data>
    <olap pivotCacheId="1591703927">
      <levels count="2">
        <level uniqueName="[Corporate_Messy_Dataset_2000_Rows].[Year].[(All)]" sourceCaption="(All)" count="0"/>
        <level uniqueName="[Corporate_Messy_Dataset_2000_Rows].[Year].[Year]" sourceCaption="Year" count="2">
          <ranges>
            <range startItem="0">
              <i n="[Corporate_Messy_Dataset_2000_Rows].[Year].&amp;[2024]" c="2024"/>
              <i n="[Corporate_Messy_Dataset_2000_Rows].[Year].&amp;[2025]" c="2025"/>
            </range>
          </ranges>
        </level>
      </levels>
      <selections count="1">
        <selection n="[Corporate_Messy_Dataset_2000_Rows].[Year].&amp;[202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BB0A59-4F41-430B-A277-BCC4295767F9}" sourceName="[Corporate_Messy_Dataset_2000_Rows].[Region]">
  <pivotTables>
    <pivotTable tabId="1" name="Regions"/>
    <pivotTable tabId="1" name="Months"/>
    <pivotTable tabId="1" name="Order Status"/>
    <pivotTable tabId="1" name="Payment Mode"/>
    <pivotTable tabId="1" name="SalesPersons"/>
    <pivotTable tabId="1" name="TopProducts"/>
  </pivotTables>
  <data>
    <olap pivotCacheId="1591703927">
      <levels count="2">
        <level uniqueName="[Corporate_Messy_Dataset_2000_Rows].[Region].[(All)]" sourceCaption="(All)" count="0"/>
        <level uniqueName="[Corporate_Messy_Dataset_2000_Rows].[Region].[Region]" sourceCaption="Region" count="4">
          <ranges>
            <range startItem="0">
              <i n="[Corporate_Messy_Dataset_2000_Rows].[Region].&amp;[East]" c="East"/>
              <i n="[Corporate_Messy_Dataset_2000_Rows].[Region].&amp;[North]" c="North"/>
              <i n="[Corporate_Messy_Dataset_2000_Rows].[Region].&amp;[South]" c="South"/>
              <i n="[Corporate_Messy_Dataset_2000_Rows].[Region].&amp;[West]" c="West"/>
            </range>
          </ranges>
        </level>
      </levels>
      <selections count="1">
        <selection n="[Corporate_Messy_Dataset_2000_Row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9411AE4C-2071-472A-A84C-C763D1BC1859}" sourceName="[Corporate_Messy_Dataset_2000_Rows].[OrderStatus]">
  <pivotTables>
    <pivotTable tabId="1" name="Regions"/>
    <pivotTable tabId="1" name="Months"/>
    <pivotTable tabId="1" name="Order Status"/>
    <pivotTable tabId="1" name="Payment Mode"/>
    <pivotTable tabId="1" name="SalesPersons"/>
    <pivotTable tabId="1" name="TopProducts"/>
  </pivotTables>
  <data>
    <olap pivotCacheId="1591703927">
      <levels count="2">
        <level uniqueName="[Corporate_Messy_Dataset_2000_Rows].[OrderStatus].[(All)]" sourceCaption="(All)" count="0"/>
        <level uniqueName="[Corporate_Messy_Dataset_2000_Rows].[OrderStatus].[OrderStatus]" sourceCaption="OrderStatus" count="4">
          <ranges>
            <range startItem="0">
              <i n="[Corporate_Messy_Dataset_2000_Rows].[OrderStatus].&amp;[Cancelled]" c="Cancelled"/>
              <i n="[Corporate_Messy_Dataset_2000_Rows].[OrderStatus].&amp;[Delivered]" c="Delivered"/>
              <i n="[Corporate_Messy_Dataset_2000_Rows].[OrderStatus].&amp;[Returned]" c="Returned"/>
              <i n="[Corporate_Messy_Dataset_2000_Rows].[OrderStatus].&amp;[Shipped]" c="Shipped"/>
            </range>
          </ranges>
        </level>
      </levels>
      <selections count="1">
        <selection n="[Corporate_Messy_Dataset_2000_Rows].[Order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0E59F90-9BE6-46F8-8226-8B6C9DA4D73D}" cache="Slicer_Product" caption="Product" showCaption="0" level="1" style="SlicerStyleLight4 2" rowHeight="144000"/>
  <slicer name="Year" xr10:uid="{E2431AC8-5E03-43B5-A793-7A69E8AD8EFE}" cache="Slicer_Year" caption="Year" columnCount="2" showCaption="0" level="1" style="SlicerStyleLight4 2" rowHeight="234950"/>
  <slicer name="Region" xr10:uid="{509457D5-AD93-4103-9D2D-AF4B4859381A}" cache="Slicer_Region" caption="Region" columnCount="4" showCaption="0" level="1" style="SlicerStyleLight4 2" rowHeight="234950"/>
  <slicer name="OrderStatus" xr10:uid="{2D1D8E26-436A-485B-A49F-C52A2B8FE39A}" cache="Slicer_OrderStatus" caption="OrderStatus" showCaption="0" level="1" style="SlicerStyleLight4 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F46CBEA5-DDE7-4837-BB41-A1203EE1D273}" sourceName="[Corporate_Messy_Dataset_2000_Rows].[OrderDate]">
  <pivotTables>
    <pivotTable tabId="1" name="Months"/>
    <pivotTable tabId="1" name="Order Status"/>
    <pivotTable tabId="1" name="Payment Mode"/>
    <pivotTable tabId="1" name="Regions"/>
    <pivotTable tabId="1" name="SalesPersons"/>
    <pivotTable tabId="1" name="TopProducts"/>
  </pivotTables>
  <state minimalRefreshVersion="6" lastRefreshVersion="6" pivotCacheId="101816044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B8ABBEF0-FCC3-4872-8C33-11874F016589}" cache="Timeline_OrderDate" caption="OrderDate" level="1" selectionLevel="1" scrollPosition="2024-01-01T00:00:00" style="TimeSlicerStyleLight6 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11D59-C1F2-4D62-BD26-8DF64163D8F0}">
  <dimension ref="A1:U33"/>
  <sheetViews>
    <sheetView topLeftCell="A10" workbookViewId="0">
      <selection activeCell="A21" sqref="A21:B32"/>
    </sheetView>
  </sheetViews>
  <sheetFormatPr defaultRowHeight="14.4" x14ac:dyDescent="0.3"/>
  <cols>
    <col min="1" max="1" width="12.5546875" bestFit="1" customWidth="1"/>
    <col min="2" max="2" width="13.109375" bestFit="1" customWidth="1"/>
    <col min="3" max="3" width="11.21875" bestFit="1" customWidth="1"/>
    <col min="4" max="4" width="12.5546875" bestFit="1" customWidth="1"/>
    <col min="5" max="5" width="13.109375" bestFit="1" customWidth="1"/>
    <col min="6" max="6" width="14.6640625" bestFit="1" customWidth="1"/>
    <col min="7" max="7" width="18.33203125" bestFit="1" customWidth="1"/>
    <col min="8" max="8" width="12.5546875" bestFit="1" customWidth="1"/>
    <col min="9" max="9" width="13.109375" bestFit="1" customWidth="1"/>
    <col min="10" max="10" width="15.21875" bestFit="1" customWidth="1"/>
    <col min="11" max="11" width="12.5546875" bestFit="1" customWidth="1"/>
    <col min="12" max="12" width="13.109375" bestFit="1" customWidth="1"/>
    <col min="13" max="13" width="5.109375" customWidth="1"/>
    <col min="14" max="16" width="13.109375" customWidth="1"/>
    <col min="17" max="17" width="12.5546875" bestFit="1" customWidth="1"/>
    <col min="18" max="18" width="13.109375" bestFit="1" customWidth="1"/>
    <col min="20" max="20" width="12.5546875" bestFit="1" customWidth="1"/>
    <col min="21" max="21" width="13.109375" bestFit="1" customWidth="1"/>
  </cols>
  <sheetData>
    <row r="1" spans="1:21" x14ac:dyDescent="0.3">
      <c r="A1" t="s">
        <v>0</v>
      </c>
      <c r="C1" t="s">
        <v>1</v>
      </c>
      <c r="E1" t="s">
        <v>2</v>
      </c>
      <c r="G1" t="s">
        <v>3</v>
      </c>
      <c r="I1" t="s">
        <v>4</v>
      </c>
      <c r="K1" t="s">
        <v>5</v>
      </c>
    </row>
    <row r="2" spans="1:21" x14ac:dyDescent="0.3">
      <c r="A2" s="1">
        <v>71773200</v>
      </c>
      <c r="C2" s="1">
        <v>1903</v>
      </c>
      <c r="E2" s="1">
        <v>579</v>
      </c>
      <c r="G2" s="4">
        <v>37715.81713084603</v>
      </c>
      <c r="I2" s="5">
        <v>0.16027325275880189</v>
      </c>
      <c r="K2" s="5">
        <v>0.33315817130846032</v>
      </c>
    </row>
    <row r="5" spans="1:21" x14ac:dyDescent="0.3">
      <c r="A5" s="3" t="s">
        <v>6</v>
      </c>
      <c r="B5" t="s">
        <v>0</v>
      </c>
      <c r="D5" s="3" t="s">
        <v>6</v>
      </c>
      <c r="E5" t="s">
        <v>0</v>
      </c>
      <c r="H5" s="3" t="s">
        <v>6</v>
      </c>
      <c r="I5" t="s">
        <v>0</v>
      </c>
      <c r="K5" s="3" t="s">
        <v>6</v>
      </c>
      <c r="L5" t="s">
        <v>0</v>
      </c>
      <c r="N5" s="2" t="s">
        <v>6</v>
      </c>
      <c r="O5" s="2" t="s">
        <v>0</v>
      </c>
      <c r="Q5" s="3" t="s">
        <v>6</v>
      </c>
      <c r="R5" t="s">
        <v>0</v>
      </c>
      <c r="T5" s="3" t="s">
        <v>6</v>
      </c>
      <c r="U5" t="s">
        <v>0</v>
      </c>
    </row>
    <row r="6" spans="1:21" x14ac:dyDescent="0.3">
      <c r="A6" s="6" t="s">
        <v>7</v>
      </c>
      <c r="B6" s="1">
        <v>3345100</v>
      </c>
      <c r="D6" s="6" t="s">
        <v>20</v>
      </c>
      <c r="E6" s="9">
        <v>0.32427253350547691</v>
      </c>
      <c r="H6" s="6" t="s">
        <v>24</v>
      </c>
      <c r="I6" s="9">
        <v>0.22450858203745172</v>
      </c>
      <c r="K6" s="6" t="s">
        <v>28</v>
      </c>
      <c r="L6" s="1">
        <v>4050400</v>
      </c>
      <c r="M6" s="1"/>
      <c r="N6" s="6" t="s">
        <v>28</v>
      </c>
      <c r="O6" s="1">
        <f>L6</f>
        <v>4050400</v>
      </c>
      <c r="P6" s="1"/>
      <c r="Q6" s="6" t="s">
        <v>36</v>
      </c>
      <c r="R6" s="9">
        <v>0.18027676730668016</v>
      </c>
      <c r="T6" s="6" t="s">
        <v>40</v>
      </c>
      <c r="U6" s="9">
        <v>0.28609562691371593</v>
      </c>
    </row>
    <row r="7" spans="1:21" x14ac:dyDescent="0.3">
      <c r="A7" s="6" t="s">
        <v>8</v>
      </c>
      <c r="B7" s="1">
        <v>3199900</v>
      </c>
      <c r="D7" s="6" t="s">
        <v>21</v>
      </c>
      <c r="E7" s="9">
        <v>0.26228049514537699</v>
      </c>
      <c r="H7" s="6" t="s">
        <v>25</v>
      </c>
      <c r="I7" s="9">
        <v>0.21196262068894187</v>
      </c>
      <c r="K7" s="6" t="s">
        <v>29</v>
      </c>
      <c r="L7" s="1">
        <v>3848300</v>
      </c>
      <c r="M7" s="1"/>
      <c r="N7" s="6" t="s">
        <v>29</v>
      </c>
      <c r="O7" s="1">
        <f t="shared" ref="O7:O13" si="0">L7</f>
        <v>3848300</v>
      </c>
      <c r="P7" s="1"/>
      <c r="Q7" s="6" t="s">
        <v>37</v>
      </c>
      <c r="R7" s="9">
        <v>0.30819513868897552</v>
      </c>
      <c r="T7" s="6" t="s">
        <v>41</v>
      </c>
      <c r="U7" s="9">
        <v>0.17624360640769529</v>
      </c>
    </row>
    <row r="8" spans="1:21" x14ac:dyDescent="0.3">
      <c r="A8" s="6" t="s">
        <v>9</v>
      </c>
      <c r="B8" s="1">
        <v>3689200</v>
      </c>
      <c r="D8" s="6" t="s">
        <v>22</v>
      </c>
      <c r="E8" s="9">
        <v>0.27446430492673723</v>
      </c>
      <c r="H8" s="6" t="s">
        <v>26</v>
      </c>
      <c r="I8" s="9">
        <v>0.19064069214817267</v>
      </c>
      <c r="K8" s="6" t="s">
        <v>30</v>
      </c>
      <c r="L8" s="1">
        <v>5074100</v>
      </c>
      <c r="M8" s="1"/>
      <c r="N8" s="6" t="s">
        <v>30</v>
      </c>
      <c r="O8" s="1">
        <f t="shared" si="0"/>
        <v>5074100</v>
      </c>
      <c r="P8" s="1"/>
      <c r="Q8" s="6" t="s">
        <v>38</v>
      </c>
      <c r="R8" s="9">
        <v>0.32227485395421329</v>
      </c>
      <c r="T8" s="6" t="s">
        <v>42</v>
      </c>
      <c r="U8" s="9">
        <v>0.20022157668385193</v>
      </c>
    </row>
    <row r="9" spans="1:21" x14ac:dyDescent="0.3">
      <c r="A9" s="6" t="s">
        <v>10</v>
      </c>
      <c r="B9" s="1">
        <v>2480200</v>
      </c>
      <c r="D9" s="6" t="s">
        <v>23</v>
      </c>
      <c r="E9" s="9">
        <v>0.13898266642240892</v>
      </c>
      <c r="H9" s="6" t="s">
        <v>27</v>
      </c>
      <c r="I9" s="9">
        <v>0.1869689557271331</v>
      </c>
      <c r="K9" s="6" t="s">
        <v>31</v>
      </c>
      <c r="L9" s="1">
        <v>4220900</v>
      </c>
      <c r="M9" s="1"/>
      <c r="N9" s="6" t="s">
        <v>31</v>
      </c>
      <c r="O9" s="1">
        <f t="shared" si="0"/>
        <v>4220900</v>
      </c>
      <c r="P9" s="1"/>
      <c r="Q9" s="6" t="s">
        <v>39</v>
      </c>
      <c r="R9" s="9">
        <v>0.189253240050131</v>
      </c>
      <c r="T9" s="6" t="s">
        <v>43</v>
      </c>
      <c r="U9" s="9">
        <v>0.14609521981744641</v>
      </c>
    </row>
    <row r="10" spans="1:21" x14ac:dyDescent="0.3">
      <c r="A10" s="6" t="s">
        <v>11</v>
      </c>
      <c r="B10" s="1">
        <v>3075100</v>
      </c>
      <c r="D10" s="6" t="s">
        <v>19</v>
      </c>
      <c r="E10" s="9">
        <v>1</v>
      </c>
      <c r="H10" s="6" t="s">
        <v>45</v>
      </c>
      <c r="I10" s="9">
        <v>0.18591914939830065</v>
      </c>
      <c r="K10" s="6" t="s">
        <v>32</v>
      </c>
      <c r="L10" s="1">
        <v>5037400</v>
      </c>
      <c r="M10" s="1"/>
      <c r="N10" s="6" t="s">
        <v>32</v>
      </c>
      <c r="O10" s="1">
        <f t="shared" si="0"/>
        <v>5037400</v>
      </c>
      <c r="P10" s="1"/>
      <c r="Q10" s="6" t="s">
        <v>19</v>
      </c>
      <c r="R10" s="9">
        <v>1</v>
      </c>
      <c r="T10" s="6" t="s">
        <v>44</v>
      </c>
      <c r="U10" s="9">
        <v>0.19134397017729043</v>
      </c>
    </row>
    <row r="11" spans="1:21" x14ac:dyDescent="0.3">
      <c r="A11" s="6" t="s">
        <v>12</v>
      </c>
      <c r="B11" s="1">
        <v>3370600</v>
      </c>
      <c r="H11" s="6" t="s">
        <v>19</v>
      </c>
      <c r="I11" s="9">
        <v>1</v>
      </c>
      <c r="K11" s="6" t="s">
        <v>33</v>
      </c>
      <c r="L11" s="1">
        <v>3478000</v>
      </c>
      <c r="M11" s="1"/>
      <c r="N11" s="6" t="s">
        <v>33</v>
      </c>
      <c r="O11" s="1">
        <f t="shared" si="0"/>
        <v>3478000</v>
      </c>
      <c r="P11" s="1"/>
      <c r="T11" s="6" t="s">
        <v>19</v>
      </c>
      <c r="U11" s="9">
        <v>1</v>
      </c>
    </row>
    <row r="12" spans="1:21" x14ac:dyDescent="0.3">
      <c r="A12" s="6" t="s">
        <v>13</v>
      </c>
      <c r="B12" s="1">
        <v>2573200</v>
      </c>
      <c r="K12" s="6" t="s">
        <v>34</v>
      </c>
      <c r="L12" s="1">
        <v>4114700</v>
      </c>
      <c r="M12" s="1"/>
      <c r="N12" s="6" t="s">
        <v>34</v>
      </c>
      <c r="O12" s="1">
        <f t="shared" si="0"/>
        <v>4114700</v>
      </c>
      <c r="P12" s="1"/>
    </row>
    <row r="13" spans="1:21" x14ac:dyDescent="0.3">
      <c r="A13" s="6" t="s">
        <v>14</v>
      </c>
      <c r="B13" s="1">
        <v>2420400</v>
      </c>
      <c r="D13" s="6"/>
      <c r="K13" s="6" t="s">
        <v>35</v>
      </c>
      <c r="L13" s="1">
        <v>4566100</v>
      </c>
      <c r="M13" s="1"/>
      <c r="N13" s="6" t="s">
        <v>35</v>
      </c>
      <c r="O13" s="1">
        <f t="shared" si="0"/>
        <v>4566100</v>
      </c>
      <c r="P13" s="1"/>
    </row>
    <row r="14" spans="1:21" x14ac:dyDescent="0.3">
      <c r="A14" s="6" t="s">
        <v>15</v>
      </c>
      <c r="B14" s="1">
        <v>2985800</v>
      </c>
      <c r="D14" s="6"/>
      <c r="K14" s="6" t="s">
        <v>19</v>
      </c>
      <c r="L14" s="1">
        <v>34389900</v>
      </c>
      <c r="M14" s="1"/>
      <c r="N14" s="7" t="s">
        <v>19</v>
      </c>
      <c r="O14" s="8">
        <f>L14</f>
        <v>34389900</v>
      </c>
      <c r="P14" s="1"/>
    </row>
    <row r="15" spans="1:21" x14ac:dyDescent="0.3">
      <c r="A15" s="6" t="s">
        <v>16</v>
      </c>
      <c r="B15" s="1">
        <v>3287600</v>
      </c>
      <c r="D15" s="6"/>
    </row>
    <row r="16" spans="1:21" x14ac:dyDescent="0.3">
      <c r="A16" s="6" t="s">
        <v>17</v>
      </c>
      <c r="B16" s="1">
        <v>1410300</v>
      </c>
      <c r="D16" s="6"/>
    </row>
    <row r="17" spans="1:2" x14ac:dyDescent="0.3">
      <c r="A17" s="6" t="s">
        <v>18</v>
      </c>
      <c r="B17" s="1">
        <v>2552500</v>
      </c>
    </row>
    <row r="18" spans="1:2" x14ac:dyDescent="0.3">
      <c r="A18" s="6" t="s">
        <v>19</v>
      </c>
      <c r="B18" s="1">
        <v>34389900</v>
      </c>
    </row>
    <row r="20" spans="1:2" x14ac:dyDescent="0.3">
      <c r="A20" s="2" t="s">
        <v>6</v>
      </c>
      <c r="B20" s="2" t="s">
        <v>0</v>
      </c>
    </row>
    <row r="21" spans="1:2" x14ac:dyDescent="0.3">
      <c r="A21" s="6" t="s">
        <v>7</v>
      </c>
      <c r="B21" s="1">
        <f>B6</f>
        <v>3345100</v>
      </c>
    </row>
    <row r="22" spans="1:2" x14ac:dyDescent="0.3">
      <c r="A22" s="6" t="s">
        <v>8</v>
      </c>
      <c r="B22" s="1">
        <f t="shared" ref="B22:B32" si="1">B7</f>
        <v>3199900</v>
      </c>
    </row>
    <row r="23" spans="1:2" x14ac:dyDescent="0.3">
      <c r="A23" s="6" t="s">
        <v>9</v>
      </c>
      <c r="B23" s="1">
        <f t="shared" si="1"/>
        <v>3689200</v>
      </c>
    </row>
    <row r="24" spans="1:2" x14ac:dyDescent="0.3">
      <c r="A24" s="6" t="s">
        <v>10</v>
      </c>
      <c r="B24" s="1">
        <f t="shared" si="1"/>
        <v>2480200</v>
      </c>
    </row>
    <row r="25" spans="1:2" x14ac:dyDescent="0.3">
      <c r="A25" s="6" t="s">
        <v>11</v>
      </c>
      <c r="B25" s="1">
        <f t="shared" si="1"/>
        <v>3075100</v>
      </c>
    </row>
    <row r="26" spans="1:2" x14ac:dyDescent="0.3">
      <c r="A26" s="6" t="s">
        <v>12</v>
      </c>
      <c r="B26" s="1">
        <f t="shared" si="1"/>
        <v>3370600</v>
      </c>
    </row>
    <row r="27" spans="1:2" x14ac:dyDescent="0.3">
      <c r="A27" s="6" t="s">
        <v>13</v>
      </c>
      <c r="B27" s="1">
        <f t="shared" si="1"/>
        <v>2573200</v>
      </c>
    </row>
    <row r="28" spans="1:2" x14ac:dyDescent="0.3">
      <c r="A28" s="6" t="s">
        <v>14</v>
      </c>
      <c r="B28" s="1">
        <f t="shared" si="1"/>
        <v>2420400</v>
      </c>
    </row>
    <row r="29" spans="1:2" x14ac:dyDescent="0.3">
      <c r="A29" s="6" t="s">
        <v>15</v>
      </c>
      <c r="B29" s="1">
        <f t="shared" si="1"/>
        <v>2985800</v>
      </c>
    </row>
    <row r="30" spans="1:2" x14ac:dyDescent="0.3">
      <c r="A30" s="6" t="s">
        <v>16</v>
      </c>
      <c r="B30" s="1">
        <f t="shared" si="1"/>
        <v>3287600</v>
      </c>
    </row>
    <row r="31" spans="1:2" x14ac:dyDescent="0.3">
      <c r="A31" s="6" t="s">
        <v>17</v>
      </c>
      <c r="B31" s="1">
        <f t="shared" si="1"/>
        <v>1410300</v>
      </c>
    </row>
    <row r="32" spans="1:2" x14ac:dyDescent="0.3">
      <c r="A32" s="6" t="s">
        <v>18</v>
      </c>
      <c r="B32" s="1">
        <f t="shared" si="1"/>
        <v>2552500</v>
      </c>
    </row>
    <row r="33" spans="1:2" x14ac:dyDescent="0.3">
      <c r="A33" s="7" t="s">
        <v>19</v>
      </c>
      <c r="B33" s="8">
        <f>B18</f>
        <v>34389900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09B32-3F44-404B-B4EB-C411281F68F9}">
  <dimension ref="A1:R27"/>
  <sheetViews>
    <sheetView tabSelected="1" workbookViewId="0">
      <selection activeCell="V10" sqref="V10"/>
    </sheetView>
  </sheetViews>
  <sheetFormatPr defaultRowHeight="14.4" x14ac:dyDescent="0.3"/>
  <sheetData>
    <row r="1" spans="1:18" x14ac:dyDescent="0.3">
      <c r="A1" s="10"/>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row r="5" spans="1:18" x14ac:dyDescent="0.3">
      <c r="A5" s="10"/>
      <c r="B5" s="10"/>
      <c r="C5" s="10"/>
      <c r="D5" s="10"/>
      <c r="E5" s="10"/>
      <c r="F5" s="10"/>
      <c r="G5" s="10"/>
      <c r="H5" s="10"/>
      <c r="I5" s="10"/>
      <c r="J5" s="10"/>
      <c r="K5" s="10"/>
      <c r="L5" s="10"/>
      <c r="M5" s="10"/>
      <c r="N5" s="10"/>
      <c r="O5" s="10"/>
      <c r="P5" s="10"/>
      <c r="Q5" s="10"/>
      <c r="R5" s="10"/>
    </row>
    <row r="6" spans="1:18" x14ac:dyDescent="0.3">
      <c r="A6" s="10"/>
      <c r="B6" s="10"/>
      <c r="C6" s="10"/>
      <c r="D6" s="10"/>
      <c r="E6" s="10"/>
      <c r="F6" s="10"/>
      <c r="G6" s="10"/>
      <c r="H6" s="10"/>
      <c r="I6" s="10"/>
      <c r="J6" s="10"/>
      <c r="K6" s="10"/>
      <c r="L6" s="10"/>
      <c r="M6" s="10"/>
      <c r="N6" s="10"/>
      <c r="O6" s="10"/>
      <c r="P6" s="10"/>
      <c r="Q6" s="10"/>
      <c r="R6" s="10"/>
    </row>
    <row r="7" spans="1:18" x14ac:dyDescent="0.3">
      <c r="A7" s="10"/>
      <c r="B7" s="10"/>
      <c r="C7" s="10"/>
      <c r="D7" s="10"/>
      <c r="E7" s="10"/>
      <c r="F7" s="10"/>
      <c r="G7" s="10"/>
      <c r="H7" s="10"/>
      <c r="I7" s="10"/>
      <c r="J7" s="10"/>
      <c r="K7" s="10"/>
      <c r="L7" s="10"/>
      <c r="M7" s="10"/>
      <c r="N7" s="10"/>
      <c r="O7" s="10"/>
      <c r="P7" s="10"/>
      <c r="Q7" s="10"/>
      <c r="R7" s="10"/>
    </row>
    <row r="8" spans="1:18" x14ac:dyDescent="0.3">
      <c r="A8" s="10"/>
      <c r="B8" s="10"/>
      <c r="C8" s="10"/>
      <c r="D8" s="10"/>
      <c r="E8" s="10"/>
      <c r="F8" s="10"/>
      <c r="G8" s="10"/>
      <c r="H8" s="10"/>
      <c r="I8" s="10"/>
      <c r="J8" s="10"/>
      <c r="K8" s="10"/>
      <c r="L8" s="10"/>
      <c r="M8" s="10"/>
      <c r="N8" s="10"/>
      <c r="O8" s="10"/>
      <c r="P8" s="10"/>
      <c r="Q8" s="10"/>
      <c r="R8" s="10"/>
    </row>
    <row r="9" spans="1:18" x14ac:dyDescent="0.3">
      <c r="A9" s="10"/>
      <c r="B9" s="10"/>
      <c r="C9" s="10"/>
      <c r="D9" s="10"/>
      <c r="E9" s="10"/>
      <c r="F9" s="10"/>
      <c r="G9" s="10"/>
      <c r="H9" s="10"/>
      <c r="I9" s="10"/>
      <c r="J9" s="10"/>
      <c r="K9" s="10"/>
      <c r="L9" s="10"/>
      <c r="M9" s="10"/>
      <c r="N9" s="10"/>
      <c r="O9" s="10"/>
      <c r="P9" s="10"/>
      <c r="Q9" s="10"/>
      <c r="R9" s="10"/>
    </row>
    <row r="10" spans="1:18" x14ac:dyDescent="0.3">
      <c r="A10" s="10"/>
      <c r="B10" s="10"/>
      <c r="C10" s="10"/>
      <c r="D10" s="10"/>
      <c r="E10" s="10"/>
      <c r="F10" s="10"/>
      <c r="G10" s="10"/>
      <c r="H10" s="10"/>
      <c r="I10" s="10"/>
      <c r="J10" s="10"/>
      <c r="K10" s="10"/>
      <c r="L10" s="10"/>
      <c r="M10" s="10"/>
      <c r="N10" s="10"/>
      <c r="O10" s="10"/>
      <c r="P10" s="10"/>
      <c r="Q10" s="10"/>
      <c r="R10" s="10"/>
    </row>
    <row r="11" spans="1:18" x14ac:dyDescent="0.3">
      <c r="A11" s="10"/>
      <c r="B11" s="10"/>
      <c r="C11" s="10"/>
      <c r="D11" s="10"/>
      <c r="E11" s="10"/>
      <c r="F11" s="10"/>
      <c r="G11" s="10"/>
      <c r="H11" s="10"/>
      <c r="I11" s="10"/>
      <c r="J11" s="10"/>
      <c r="K11" s="10"/>
      <c r="L11" s="10"/>
      <c r="M11" s="10"/>
      <c r="N11" s="10"/>
      <c r="O11" s="10"/>
      <c r="P11" s="10"/>
      <c r="Q11" s="10"/>
      <c r="R11" s="10"/>
    </row>
    <row r="12" spans="1:18" x14ac:dyDescent="0.3">
      <c r="A12" s="10"/>
      <c r="B12" s="10"/>
      <c r="C12" s="10"/>
      <c r="D12" s="10"/>
      <c r="E12" s="10"/>
      <c r="F12" s="10"/>
      <c r="G12" s="10"/>
      <c r="H12" s="10"/>
      <c r="I12" s="10"/>
      <c r="J12" s="10"/>
      <c r="K12" s="10"/>
      <c r="L12" s="10"/>
      <c r="M12" s="10"/>
      <c r="N12" s="10"/>
      <c r="O12" s="10"/>
      <c r="P12" s="10"/>
      <c r="Q12" s="10"/>
      <c r="R12" s="10"/>
    </row>
    <row r="13" spans="1:18" x14ac:dyDescent="0.3">
      <c r="A13" s="10"/>
      <c r="B13" s="10"/>
      <c r="C13" s="10"/>
      <c r="D13" s="10"/>
      <c r="E13" s="10"/>
      <c r="F13" s="10"/>
      <c r="G13" s="10"/>
      <c r="H13" s="10"/>
      <c r="I13" s="10"/>
      <c r="J13" s="10"/>
      <c r="K13" s="10"/>
      <c r="L13" s="10"/>
      <c r="M13" s="10"/>
      <c r="N13" s="10"/>
      <c r="O13" s="10"/>
      <c r="P13" s="10"/>
      <c r="Q13" s="10"/>
      <c r="R13" s="10"/>
    </row>
    <row r="14" spans="1:18" x14ac:dyDescent="0.3">
      <c r="A14" s="10"/>
      <c r="B14" s="10"/>
      <c r="C14" s="10"/>
      <c r="D14" s="10"/>
      <c r="E14" s="10"/>
      <c r="F14" s="10"/>
      <c r="G14" s="10"/>
      <c r="H14" s="10"/>
      <c r="I14" s="10"/>
      <c r="J14" s="10"/>
      <c r="K14" s="10"/>
      <c r="L14" s="10"/>
      <c r="M14" s="10"/>
      <c r="N14" s="10"/>
      <c r="O14" s="10"/>
      <c r="P14" s="10"/>
      <c r="Q14" s="10"/>
      <c r="R14" s="10"/>
    </row>
    <row r="15" spans="1:18" x14ac:dyDescent="0.3">
      <c r="A15" s="10"/>
      <c r="B15" s="10"/>
      <c r="C15" s="10"/>
      <c r="D15" s="10"/>
      <c r="E15" s="10"/>
      <c r="F15" s="10"/>
      <c r="G15" s="10"/>
      <c r="H15" s="10"/>
      <c r="I15" s="10"/>
      <c r="J15" s="10"/>
      <c r="K15" s="10"/>
      <c r="L15" s="10"/>
      <c r="M15" s="10"/>
      <c r="N15" s="10"/>
      <c r="O15" s="10"/>
      <c r="P15" s="10"/>
      <c r="Q15" s="10"/>
      <c r="R15" s="10"/>
    </row>
    <row r="16" spans="1:18"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x14ac:dyDescent="0.3">
      <c r="A19" s="10"/>
      <c r="B19" s="10"/>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0"/>
      <c r="Q20" s="10"/>
      <c r="R20" s="10"/>
    </row>
    <row r="21" spans="1:18" x14ac:dyDescent="0.3">
      <c r="A21" s="10"/>
      <c r="B21" s="10"/>
      <c r="C21" s="10"/>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row r="27" spans="1:18" x14ac:dyDescent="0.3">
      <c r="A27" s="10"/>
      <c r="B27" s="10"/>
      <c r="C27" s="10"/>
      <c r="D27" s="10"/>
      <c r="E27" s="10"/>
      <c r="F27" s="10"/>
      <c r="G27" s="10"/>
      <c r="H27" s="10"/>
      <c r="I27" s="10"/>
      <c r="J27" s="10"/>
      <c r="K27" s="10"/>
      <c r="L27" s="10"/>
      <c r="M27" s="10"/>
      <c r="N27" s="10"/>
      <c r="O27" s="10"/>
      <c r="P27" s="10"/>
      <c r="Q27" s="10"/>
      <c r="R27"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C6170066-A226-48BA-B62C-3C0F022BBDBF}">
  <ds:schemaRefs/>
</ds:datastoreItem>
</file>

<file path=customXml/itemProps2.xml><?xml version="1.0" encoding="utf-8"?>
<ds:datastoreItem xmlns:ds="http://schemas.openxmlformats.org/officeDocument/2006/customXml" ds:itemID="{311AEDD8-FED2-4944-B116-B12684E23D13}">
  <ds:schemaRefs/>
</ds:datastoreItem>
</file>

<file path=customXml/itemProps3.xml><?xml version="1.0" encoding="utf-8"?>
<ds:datastoreItem xmlns:ds="http://schemas.openxmlformats.org/officeDocument/2006/customXml" ds:itemID="{0DDBD79A-E889-4DD8-83BE-5A8AF4DCBF01}">
  <ds:schemaRefs/>
</ds:datastoreItem>
</file>

<file path=customXml/itemProps4.xml><?xml version="1.0" encoding="utf-8"?>
<ds:datastoreItem xmlns:ds="http://schemas.openxmlformats.org/officeDocument/2006/customXml" ds:itemID="{95925C1C-545C-4118-8456-944D6D897FD8}">
  <ds:schemaRefs/>
</ds:datastoreItem>
</file>

<file path=customXml/itemProps5.xml><?xml version="1.0" encoding="utf-8"?>
<ds:datastoreItem xmlns:ds="http://schemas.openxmlformats.org/officeDocument/2006/customXml" ds:itemID="{F53F5D32-C041-40F0-A006-D4E1910270C8}">
  <ds:schemaRefs/>
</ds:datastoreItem>
</file>

<file path=customXml/itemProps6.xml><?xml version="1.0" encoding="utf-8"?>
<ds:datastoreItem xmlns:ds="http://schemas.openxmlformats.org/officeDocument/2006/customXml" ds:itemID="{98AFCF3D-0ACB-45AB-851C-6A79351FEDB1}">
  <ds:schemaRefs/>
</ds:datastoreItem>
</file>

<file path=customXml/itemProps7.xml><?xml version="1.0" encoding="utf-8"?>
<ds:datastoreItem xmlns:ds="http://schemas.openxmlformats.org/officeDocument/2006/customXml" ds:itemID="{5F3C281F-8F11-4B28-85FE-0A8A90916374}">
  <ds:schemaRefs/>
</ds:datastoreItem>
</file>

<file path=customXml/itemProps8.xml><?xml version="1.0" encoding="utf-8"?>
<ds:datastoreItem xmlns:ds="http://schemas.openxmlformats.org/officeDocument/2006/customXml" ds:itemID="{4844C3B8-25B9-4ADF-A40E-BD7F1877B96A}">
  <ds:schemaRefs/>
</ds:datastoreItem>
</file>

<file path=customXml/itemProps9.xml><?xml version="1.0" encoding="utf-8"?>
<ds:datastoreItem xmlns:ds="http://schemas.openxmlformats.org/officeDocument/2006/customXml" ds:itemID="{FE2DD128-1A7E-42DA-BE2F-1B28644C62D5}">
  <ds:schemaRefs/>
</ds:datastoreItem>
</file>

<file path=customXml/itemProps10.xml><?xml version="1.0" encoding="utf-8"?>
<ds:datastoreItem xmlns:ds="http://schemas.openxmlformats.org/officeDocument/2006/customXml" ds:itemID="{CC30F09D-392C-40EA-8740-4603BFAE8DC8}">
  <ds:schemaRefs/>
</ds:datastoreItem>
</file>

<file path=customXml/itemProps11.xml><?xml version="1.0" encoding="utf-8"?>
<ds:datastoreItem xmlns:ds="http://schemas.openxmlformats.org/officeDocument/2006/customXml" ds:itemID="{C512B426-AE84-474E-A638-1B97A7E86CCC}">
  <ds:schemaRefs/>
</ds:datastoreItem>
</file>

<file path=customXml/itemProps12.xml><?xml version="1.0" encoding="utf-8"?>
<ds:datastoreItem xmlns:ds="http://schemas.openxmlformats.org/officeDocument/2006/customXml" ds:itemID="{66882EB3-AEA5-457C-BB74-2E69AD4DB71A}">
  <ds:schemaRefs/>
</ds:datastoreItem>
</file>

<file path=customXml/itemProps13.xml><?xml version="1.0" encoding="utf-8"?>
<ds:datastoreItem xmlns:ds="http://schemas.openxmlformats.org/officeDocument/2006/customXml" ds:itemID="{E1D1BCCB-4F14-4C26-8835-27F80CF8AF73}">
  <ds:schemaRefs/>
</ds:datastoreItem>
</file>

<file path=customXml/itemProps14.xml><?xml version="1.0" encoding="utf-8"?>
<ds:datastoreItem xmlns:ds="http://schemas.openxmlformats.org/officeDocument/2006/customXml" ds:itemID="{C68644DE-9DB2-400D-8924-749DAAEFB746}">
  <ds:schemaRefs/>
</ds:datastoreItem>
</file>

<file path=customXml/itemProps15.xml><?xml version="1.0" encoding="utf-8"?>
<ds:datastoreItem xmlns:ds="http://schemas.openxmlformats.org/officeDocument/2006/customXml" ds:itemID="{9ADD96E8-9D6E-4A01-BE79-C74FBC813477}">
  <ds:schemaRefs/>
</ds:datastoreItem>
</file>

<file path=customXml/itemProps16.xml><?xml version="1.0" encoding="utf-8"?>
<ds:datastoreItem xmlns:ds="http://schemas.openxmlformats.org/officeDocument/2006/customXml" ds:itemID="{451F271D-6086-4007-9FA3-2238D59D161D}">
  <ds:schemaRefs/>
</ds:datastoreItem>
</file>

<file path=customXml/itemProps17.xml><?xml version="1.0" encoding="utf-8"?>
<ds:datastoreItem xmlns:ds="http://schemas.openxmlformats.org/officeDocument/2006/customXml" ds:itemID="{B9E2F7C1-AC82-47EF-BE01-862EDFA96629}">
  <ds:schemaRefs/>
</ds:datastoreItem>
</file>

<file path=customXml/itemProps18.xml><?xml version="1.0" encoding="utf-8"?>
<ds:datastoreItem xmlns:ds="http://schemas.openxmlformats.org/officeDocument/2006/customXml" ds:itemID="{E85DE7C2-68B5-41F9-AE47-7E2CCD0420BE}">
  <ds:schemaRefs/>
</ds:datastoreItem>
</file>

<file path=customXml/itemProps19.xml><?xml version="1.0" encoding="utf-8"?>
<ds:datastoreItem xmlns:ds="http://schemas.openxmlformats.org/officeDocument/2006/customXml" ds:itemID="{FC7AC01D-F3ED-461D-B455-11B8474379EB}">
  <ds:schemaRefs/>
</ds:datastoreItem>
</file>

<file path=customXml/itemProps20.xml><?xml version="1.0" encoding="utf-8"?>
<ds:datastoreItem xmlns:ds="http://schemas.openxmlformats.org/officeDocument/2006/customXml" ds:itemID="{F35942D6-7E4F-4F0E-A1FE-77FD7022C970}">
  <ds:schemaRefs/>
</ds:datastoreItem>
</file>

<file path=customXml/itemProps21.xml><?xml version="1.0" encoding="utf-8"?>
<ds:datastoreItem xmlns:ds="http://schemas.openxmlformats.org/officeDocument/2006/customXml" ds:itemID="{F74B5B72-FD64-44AA-B614-AEE129E1115A}">
  <ds:schemaRefs/>
</ds:datastoreItem>
</file>

<file path=customXml/itemProps22.xml><?xml version="1.0" encoding="utf-8"?>
<ds:datastoreItem xmlns:ds="http://schemas.openxmlformats.org/officeDocument/2006/customXml" ds:itemID="{6F7C274A-BD04-41A1-ADDE-95CA308F0289}">
  <ds:schemaRefs/>
</ds:datastoreItem>
</file>

<file path=customXml/itemProps23.xml><?xml version="1.0" encoding="utf-8"?>
<ds:datastoreItem xmlns:ds="http://schemas.openxmlformats.org/officeDocument/2006/customXml" ds:itemID="{7E2FE073-3770-4EA9-B486-B675BB0F0994}">
  <ds:schemaRefs>
    <ds:schemaRef ds:uri="http://schemas.microsoft.com/DataMashup"/>
  </ds:schemaRefs>
</ds:datastoreItem>
</file>

<file path=customXml/itemProps24.xml><?xml version="1.0" encoding="utf-8"?>
<ds:datastoreItem xmlns:ds="http://schemas.openxmlformats.org/officeDocument/2006/customXml" ds:itemID="{30A4F834-D112-4389-B6C7-CF134BF182EA}">
  <ds:schemaRefs/>
</ds:datastoreItem>
</file>

<file path=customXml/itemProps25.xml><?xml version="1.0" encoding="utf-8"?>
<ds:datastoreItem xmlns:ds="http://schemas.openxmlformats.org/officeDocument/2006/customXml" ds:itemID="{2C9C400F-BC3A-4993-8AA3-867E832EFE57}">
  <ds:schemaRefs/>
</ds:datastoreItem>
</file>

<file path=customXml/itemProps26.xml><?xml version="1.0" encoding="utf-8"?>
<ds:datastoreItem xmlns:ds="http://schemas.openxmlformats.org/officeDocument/2006/customXml" ds:itemID="{5ACA5CFE-FCF1-47A9-82AF-90782992C1EA}">
  <ds:schemaRefs/>
</ds:datastoreItem>
</file>

<file path=customXml/itemProps27.xml><?xml version="1.0" encoding="utf-8"?>
<ds:datastoreItem xmlns:ds="http://schemas.openxmlformats.org/officeDocument/2006/customXml" ds:itemID="{9C3B2A6D-34D0-4234-8954-C5B7043FCAF7}">
  <ds:schemaRefs/>
</ds:datastoreItem>
</file>

<file path=customXml/itemProps28.xml><?xml version="1.0" encoding="utf-8"?>
<ds:datastoreItem xmlns:ds="http://schemas.openxmlformats.org/officeDocument/2006/customXml" ds:itemID="{2DA85867-10FB-45FF-A386-18AA5722BADA}">
  <ds:schemaRefs/>
</ds:datastoreItem>
</file>

<file path=customXml/itemProps29.xml><?xml version="1.0" encoding="utf-8"?>
<ds:datastoreItem xmlns:ds="http://schemas.openxmlformats.org/officeDocument/2006/customXml" ds:itemID="{84F1DB8E-EF73-4513-B960-DAA48FAB3A6B}">
  <ds:schemaRefs/>
</ds:datastoreItem>
</file>

<file path=customXml/itemProps30.xml><?xml version="1.0" encoding="utf-8"?>
<ds:datastoreItem xmlns:ds="http://schemas.openxmlformats.org/officeDocument/2006/customXml" ds:itemID="{64736C4F-3298-45C4-BAF8-EF6677D05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divyaninawe428@gmail.com</dc:creator>
  <cp:lastModifiedBy>divyaninawe428@gmail.com</cp:lastModifiedBy>
  <dcterms:created xsi:type="dcterms:W3CDTF">2026-06-09T04:07:15Z</dcterms:created>
  <dcterms:modified xsi:type="dcterms:W3CDTF">2026-06-10T06:33:41Z</dcterms:modified>
</cp:coreProperties>
</file>